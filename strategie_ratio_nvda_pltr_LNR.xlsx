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33664\Documents\"/>
    </mc:Choice>
  </mc:AlternateContent>
  <xr:revisionPtr revIDLastSave="0" documentId="8_{1CEF361E-403F-43A1-BC42-D7E5F49FB7E0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NVDA-PLTR strat trad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4" i="2" l="1"/>
  <c r="G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F241" i="2"/>
  <c r="D241" i="2"/>
  <c r="E241" i="2" s="1"/>
  <c r="D240" i="2"/>
  <c r="D239" i="2"/>
  <c r="D238" i="2"/>
  <c r="D237" i="2"/>
  <c r="D236" i="2"/>
  <c r="D235" i="2"/>
  <c r="D234" i="2"/>
  <c r="D233" i="2"/>
  <c r="D232" i="2"/>
  <c r="D231" i="2"/>
  <c r="D230" i="2"/>
  <c r="D229" i="2"/>
  <c r="F228" i="2"/>
  <c r="D228" i="2"/>
  <c r="E228" i="2" s="1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F193" i="2" s="1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F156" i="2" s="1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E136" i="2" s="1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F122" i="2" s="1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E102" i="2" s="1"/>
  <c r="D101" i="2"/>
  <c r="D100" i="2"/>
  <c r="D99" i="2"/>
  <c r="E99" i="2" s="1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F69" i="2" s="1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F15" i="1"/>
  <c r="E15" i="1"/>
  <c r="H254" i="1"/>
  <c r="G25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" i="1"/>
  <c r="E253" i="2" l="1"/>
  <c r="F253" i="2"/>
  <c r="E252" i="2"/>
  <c r="F252" i="2"/>
  <c r="F251" i="2"/>
  <c r="E251" i="2"/>
  <c r="F250" i="2"/>
  <c r="E250" i="2"/>
  <c r="E249" i="2"/>
  <c r="F249" i="2"/>
  <c r="F248" i="2"/>
  <c r="E248" i="2"/>
  <c r="E247" i="2"/>
  <c r="F247" i="2"/>
  <c r="F246" i="2"/>
  <c r="E246" i="2"/>
  <c r="F245" i="2"/>
  <c r="E245" i="2"/>
  <c r="F244" i="2"/>
  <c r="E244" i="2"/>
  <c r="F243" i="2"/>
  <c r="E243" i="2"/>
  <c r="F242" i="2"/>
  <c r="E242" i="2"/>
  <c r="G241" i="2"/>
  <c r="H241" i="2"/>
  <c r="F240" i="2"/>
  <c r="E240" i="2"/>
  <c r="F239" i="2"/>
  <c r="E239" i="2"/>
  <c r="F238" i="2"/>
  <c r="E238" i="2"/>
  <c r="E237" i="2"/>
  <c r="F237" i="2"/>
  <c r="F236" i="2"/>
  <c r="E236" i="2"/>
  <c r="F235" i="2"/>
  <c r="E235" i="2"/>
  <c r="E234" i="2"/>
  <c r="F234" i="2"/>
  <c r="F233" i="2"/>
  <c r="E233" i="2"/>
  <c r="F232" i="2"/>
  <c r="E232" i="2"/>
  <c r="E231" i="2"/>
  <c r="F231" i="2"/>
  <c r="E230" i="2"/>
  <c r="F230" i="2"/>
  <c r="F229" i="2"/>
  <c r="E229" i="2"/>
  <c r="G228" i="2"/>
  <c r="H228" i="2"/>
  <c r="F227" i="2"/>
  <c r="E227" i="2"/>
  <c r="E226" i="2"/>
  <c r="F226" i="2"/>
  <c r="F225" i="2"/>
  <c r="E225" i="2"/>
  <c r="E224" i="2"/>
  <c r="F224" i="2"/>
  <c r="E223" i="2"/>
  <c r="F223" i="2"/>
  <c r="F222" i="2"/>
  <c r="E222" i="2"/>
  <c r="F221" i="2"/>
  <c r="E221" i="2"/>
  <c r="F220" i="2"/>
  <c r="E220" i="2"/>
  <c r="F219" i="2"/>
  <c r="E219" i="2"/>
  <c r="E218" i="2"/>
  <c r="F218" i="2"/>
  <c r="E217" i="2"/>
  <c r="F217" i="2"/>
  <c r="E216" i="2"/>
  <c r="F216" i="2"/>
  <c r="E215" i="2"/>
  <c r="F215" i="2"/>
  <c r="E214" i="2"/>
  <c r="F214" i="2"/>
  <c r="F213" i="2"/>
  <c r="E213" i="2"/>
  <c r="F212" i="2"/>
  <c r="E212" i="2"/>
  <c r="F211" i="2"/>
  <c r="E211" i="2"/>
  <c r="F210" i="2"/>
  <c r="E210" i="2"/>
  <c r="E209" i="2"/>
  <c r="F209" i="2"/>
  <c r="E208" i="2"/>
  <c r="F208" i="2"/>
  <c r="E207" i="2"/>
  <c r="F207" i="2"/>
  <c r="F206" i="2"/>
  <c r="E206" i="2"/>
  <c r="E205" i="2"/>
  <c r="F205" i="2"/>
  <c r="F204" i="2"/>
  <c r="E204" i="2"/>
  <c r="F203" i="2"/>
  <c r="E203" i="2"/>
  <c r="F202" i="2"/>
  <c r="E202" i="2"/>
  <c r="E201" i="2"/>
  <c r="F201" i="2"/>
  <c r="E200" i="2"/>
  <c r="F200" i="2"/>
  <c r="E199" i="2"/>
  <c r="F199" i="2"/>
  <c r="F198" i="2"/>
  <c r="E198" i="2"/>
  <c r="E197" i="2"/>
  <c r="F197" i="2"/>
  <c r="E196" i="2"/>
  <c r="F196" i="2"/>
  <c r="E195" i="2"/>
  <c r="F195" i="2"/>
  <c r="F194" i="2"/>
  <c r="E194" i="2"/>
  <c r="F192" i="2"/>
  <c r="E192" i="2"/>
  <c r="E191" i="2"/>
  <c r="F191" i="2"/>
  <c r="F190" i="2"/>
  <c r="E190" i="2"/>
  <c r="F189" i="2"/>
  <c r="E189" i="2"/>
  <c r="E188" i="2"/>
  <c r="F188" i="2"/>
  <c r="E187" i="2"/>
  <c r="F187" i="2"/>
  <c r="F186" i="2"/>
  <c r="E186" i="2"/>
  <c r="F185" i="2"/>
  <c r="E185" i="2"/>
  <c r="F184" i="2"/>
  <c r="E184" i="2"/>
  <c r="F183" i="2"/>
  <c r="E183" i="2"/>
  <c r="E182" i="2"/>
  <c r="F182" i="2"/>
  <c r="F181" i="2"/>
  <c r="E181" i="2"/>
  <c r="E193" i="2"/>
  <c r="F180" i="2"/>
  <c r="E180" i="2"/>
  <c r="E179" i="2"/>
  <c r="F179" i="2"/>
  <c r="E178" i="2"/>
  <c r="F178" i="2"/>
  <c r="F177" i="2"/>
  <c r="E177" i="2"/>
  <c r="F176" i="2"/>
  <c r="E176" i="2"/>
  <c r="F175" i="2"/>
  <c r="E175" i="2"/>
  <c r="F174" i="2"/>
  <c r="E174" i="2"/>
  <c r="E173" i="2"/>
  <c r="F173" i="2"/>
  <c r="E172" i="2"/>
  <c r="F172" i="2"/>
  <c r="F171" i="2"/>
  <c r="E171" i="2"/>
  <c r="F170" i="2"/>
  <c r="E170" i="2"/>
  <c r="E169" i="2"/>
  <c r="F169" i="2"/>
  <c r="F168" i="2"/>
  <c r="E168" i="2"/>
  <c r="F167" i="2"/>
  <c r="E167" i="2"/>
  <c r="E166" i="2"/>
  <c r="F166" i="2"/>
  <c r="F165" i="2"/>
  <c r="E165" i="2"/>
  <c r="E164" i="2"/>
  <c r="F164" i="2"/>
  <c r="F163" i="2"/>
  <c r="E163" i="2"/>
  <c r="E162" i="2"/>
  <c r="F162" i="2"/>
  <c r="F161" i="2"/>
  <c r="E161" i="2"/>
  <c r="F160" i="2"/>
  <c r="E160" i="2"/>
  <c r="E159" i="2"/>
  <c r="F159" i="2"/>
  <c r="E158" i="2"/>
  <c r="F158" i="2"/>
  <c r="F157" i="2"/>
  <c r="E157" i="2"/>
  <c r="E155" i="2"/>
  <c r="F155" i="2"/>
  <c r="F154" i="2"/>
  <c r="E154" i="2"/>
  <c r="E153" i="2"/>
  <c r="F153" i="2"/>
  <c r="F152" i="2"/>
  <c r="E152" i="2"/>
  <c r="E151" i="2"/>
  <c r="F151" i="2"/>
  <c r="F150" i="2"/>
  <c r="E150" i="2"/>
  <c r="F149" i="2"/>
  <c r="E149" i="2"/>
  <c r="F148" i="2"/>
  <c r="E148" i="2"/>
  <c r="F147" i="2"/>
  <c r="E147" i="2"/>
  <c r="F146" i="2"/>
  <c r="E146" i="2"/>
  <c r="E145" i="2"/>
  <c r="F145" i="2"/>
  <c r="E144" i="2"/>
  <c r="F144" i="2"/>
  <c r="E143" i="2"/>
  <c r="F143" i="2"/>
  <c r="E156" i="2"/>
  <c r="F142" i="2"/>
  <c r="E142" i="2"/>
  <c r="F141" i="2"/>
  <c r="E141" i="2"/>
  <c r="E140" i="2"/>
  <c r="F140" i="2"/>
  <c r="F139" i="2"/>
  <c r="E139" i="2"/>
  <c r="E138" i="2"/>
  <c r="F138" i="2"/>
  <c r="E137" i="2"/>
  <c r="F137" i="2"/>
  <c r="H136" i="2"/>
  <c r="E135" i="2"/>
  <c r="F135" i="2"/>
  <c r="E134" i="2"/>
  <c r="F134" i="2"/>
  <c r="E133" i="2"/>
  <c r="F133" i="2"/>
  <c r="F132" i="2"/>
  <c r="E132" i="2"/>
  <c r="E131" i="2"/>
  <c r="F131" i="2"/>
  <c r="F130" i="2"/>
  <c r="E130" i="2"/>
  <c r="E129" i="2"/>
  <c r="F129" i="2"/>
  <c r="F128" i="2"/>
  <c r="E128" i="2"/>
  <c r="E127" i="2"/>
  <c r="F127" i="2"/>
  <c r="F126" i="2"/>
  <c r="E126" i="2"/>
  <c r="F125" i="2"/>
  <c r="E125" i="2"/>
  <c r="F124" i="2"/>
  <c r="E124" i="2"/>
  <c r="F123" i="2"/>
  <c r="F136" i="2"/>
  <c r="G136" i="2" s="1"/>
  <c r="E123" i="2"/>
  <c r="E121" i="2"/>
  <c r="F121" i="2"/>
  <c r="E120" i="2"/>
  <c r="F120" i="2"/>
  <c r="F119" i="2"/>
  <c r="E119" i="2"/>
  <c r="F118" i="2"/>
  <c r="E118" i="2"/>
  <c r="F117" i="2"/>
  <c r="E117" i="2"/>
  <c r="E116" i="2"/>
  <c r="F116" i="2"/>
  <c r="E115" i="2"/>
  <c r="F115" i="2"/>
  <c r="F114" i="2"/>
  <c r="E114" i="2"/>
  <c r="F113" i="2"/>
  <c r="E113" i="2"/>
  <c r="F112" i="2"/>
  <c r="E112" i="2"/>
  <c r="E111" i="2"/>
  <c r="F111" i="2"/>
  <c r="E110" i="2"/>
  <c r="F110" i="2"/>
  <c r="E122" i="2"/>
  <c r="F109" i="2"/>
  <c r="E109" i="2"/>
  <c r="E108" i="2"/>
  <c r="F108" i="2"/>
  <c r="F107" i="2"/>
  <c r="E107" i="2"/>
  <c r="F106" i="2"/>
  <c r="E106" i="2"/>
  <c r="F105" i="2"/>
  <c r="E105" i="2"/>
  <c r="E104" i="2"/>
  <c r="F104" i="2"/>
  <c r="E103" i="2"/>
  <c r="F103" i="2"/>
  <c r="E101" i="2"/>
  <c r="F101" i="2"/>
  <c r="E100" i="2"/>
  <c r="F100" i="2"/>
  <c r="F98" i="2"/>
  <c r="E98" i="2"/>
  <c r="E97" i="2"/>
  <c r="F97" i="2"/>
  <c r="F96" i="2"/>
  <c r="E96" i="2"/>
  <c r="F95" i="2"/>
  <c r="E95" i="2"/>
  <c r="E94" i="2"/>
  <c r="F94" i="2"/>
  <c r="E93" i="2"/>
  <c r="F93" i="2"/>
  <c r="E92" i="2"/>
  <c r="F92" i="2"/>
  <c r="E91" i="2"/>
  <c r="F91" i="2"/>
  <c r="F90" i="2"/>
  <c r="E90" i="2"/>
  <c r="F89" i="2"/>
  <c r="F102" i="2"/>
  <c r="E89" i="2"/>
  <c r="F88" i="2"/>
  <c r="E88" i="2"/>
  <c r="F87" i="2"/>
  <c r="E87" i="2"/>
  <c r="F99" i="2"/>
  <c r="F86" i="2"/>
  <c r="E86" i="2"/>
  <c r="F85" i="2"/>
  <c r="E85" i="2"/>
  <c r="F84" i="2"/>
  <c r="E84" i="2"/>
  <c r="E83" i="2"/>
  <c r="F83" i="2"/>
  <c r="E82" i="2"/>
  <c r="F82" i="2"/>
  <c r="E81" i="2"/>
  <c r="F81" i="2"/>
  <c r="F80" i="2"/>
  <c r="E80" i="2"/>
  <c r="F79" i="2"/>
  <c r="E79" i="2"/>
  <c r="E78" i="2"/>
  <c r="F78" i="2"/>
  <c r="E77" i="2"/>
  <c r="F77" i="2"/>
  <c r="F76" i="2"/>
  <c r="E76" i="2"/>
  <c r="E75" i="2"/>
  <c r="F75" i="2"/>
  <c r="F74" i="2"/>
  <c r="E74" i="2"/>
  <c r="F73" i="2"/>
  <c r="E73" i="2"/>
  <c r="E72" i="2"/>
  <c r="F72" i="2"/>
  <c r="E71" i="2"/>
  <c r="F71" i="2"/>
  <c r="F70" i="2"/>
  <c r="E70" i="2"/>
  <c r="F68" i="2"/>
  <c r="E68" i="2"/>
  <c r="E67" i="2"/>
  <c r="F67" i="2"/>
  <c r="E66" i="2"/>
  <c r="F66" i="2"/>
  <c r="F65" i="2"/>
  <c r="E65" i="2"/>
  <c r="E64" i="2"/>
  <c r="F64" i="2"/>
  <c r="F63" i="2"/>
  <c r="E63" i="2"/>
  <c r="F62" i="2"/>
  <c r="E62" i="2"/>
  <c r="F61" i="2"/>
  <c r="E61" i="2"/>
  <c r="E60" i="2"/>
  <c r="F60" i="2"/>
  <c r="E59" i="2"/>
  <c r="F59" i="2"/>
  <c r="F58" i="2"/>
  <c r="E58" i="2"/>
  <c r="F57" i="2"/>
  <c r="E57" i="2"/>
  <c r="E56" i="2"/>
  <c r="F56" i="2"/>
  <c r="E69" i="2"/>
  <c r="E55" i="2"/>
  <c r="F55" i="2"/>
  <c r="E54" i="2"/>
  <c r="F54" i="2"/>
  <c r="E53" i="2"/>
  <c r="F53" i="2"/>
  <c r="F52" i="2"/>
  <c r="E52" i="2"/>
  <c r="E51" i="2"/>
  <c r="F51" i="2"/>
  <c r="E50" i="2"/>
  <c r="F50" i="2"/>
  <c r="E49" i="2"/>
  <c r="F49" i="2"/>
  <c r="E48" i="2"/>
  <c r="F48" i="2"/>
  <c r="E47" i="2"/>
  <c r="F47" i="2"/>
  <c r="E46" i="2"/>
  <c r="F46" i="2"/>
  <c r="E45" i="2"/>
  <c r="F45" i="2"/>
  <c r="E44" i="2"/>
  <c r="F44" i="2"/>
  <c r="E43" i="2"/>
  <c r="F43" i="2"/>
  <c r="E42" i="2"/>
  <c r="F42" i="2"/>
  <c r="E41" i="2"/>
  <c r="F41" i="2"/>
  <c r="E40" i="2"/>
  <c r="F40" i="2"/>
  <c r="E39" i="2"/>
  <c r="F39" i="2"/>
  <c r="F38" i="2"/>
  <c r="E38" i="2"/>
  <c r="F37" i="2"/>
  <c r="E37" i="2"/>
  <c r="E36" i="2"/>
  <c r="F36" i="2"/>
  <c r="F35" i="2"/>
  <c r="E35" i="2"/>
  <c r="E34" i="2"/>
  <c r="F34" i="2"/>
  <c r="E33" i="2"/>
  <c r="F33" i="2"/>
  <c r="E32" i="2"/>
  <c r="F32" i="2"/>
  <c r="F31" i="2"/>
  <c r="E31" i="2"/>
  <c r="F30" i="2"/>
  <c r="E30" i="2"/>
  <c r="F29" i="2"/>
  <c r="E29" i="2"/>
  <c r="E28" i="2"/>
  <c r="F28" i="2"/>
  <c r="E27" i="2"/>
  <c r="F27" i="2"/>
  <c r="E26" i="2"/>
  <c r="F26" i="2"/>
  <c r="E25" i="2"/>
  <c r="F25" i="2"/>
  <c r="E24" i="2"/>
  <c r="F24" i="2"/>
  <c r="E23" i="2"/>
  <c r="F23" i="2"/>
  <c r="F22" i="2"/>
  <c r="E22" i="2"/>
  <c r="E21" i="2"/>
  <c r="F21" i="2"/>
  <c r="E20" i="2"/>
  <c r="F20" i="2"/>
  <c r="E19" i="2"/>
  <c r="F19" i="2"/>
  <c r="E18" i="2"/>
  <c r="F18" i="2"/>
  <c r="E17" i="2"/>
  <c r="F17" i="2"/>
  <c r="E16" i="2"/>
  <c r="F16" i="2"/>
  <c r="E15" i="2"/>
  <c r="F15" i="2"/>
  <c r="H27" i="1"/>
  <c r="H28" i="1"/>
  <c r="H29" i="1"/>
  <c r="H30" i="1"/>
  <c r="H31" i="1"/>
  <c r="H37" i="1"/>
  <c r="H39" i="1"/>
  <c r="H43" i="1"/>
  <c r="H44" i="1"/>
  <c r="H45" i="1"/>
  <c r="H46" i="1"/>
  <c r="H48" i="1"/>
  <c r="H49" i="1"/>
  <c r="H50" i="1"/>
  <c r="H51" i="1"/>
  <c r="H52" i="1"/>
  <c r="H53" i="1"/>
  <c r="H54" i="1"/>
  <c r="H55" i="1"/>
  <c r="H57" i="1"/>
  <c r="H58" i="1"/>
  <c r="H61" i="1"/>
  <c r="H66" i="1"/>
  <c r="H67" i="1"/>
  <c r="H75" i="1"/>
  <c r="H77" i="1"/>
  <c r="H78" i="1"/>
  <c r="H79" i="1"/>
  <c r="H80" i="1"/>
  <c r="H81" i="1"/>
  <c r="H83" i="1"/>
  <c r="H84" i="1"/>
  <c r="H85" i="1"/>
  <c r="H86" i="1"/>
  <c r="H87" i="1"/>
  <c r="H92" i="1"/>
  <c r="H93" i="1"/>
  <c r="H96" i="1"/>
  <c r="H98" i="1"/>
  <c r="H105" i="1"/>
  <c r="H108" i="1"/>
  <c r="H109" i="1"/>
  <c r="H111" i="1"/>
  <c r="H114" i="1"/>
  <c r="H115" i="1"/>
  <c r="H118" i="1"/>
  <c r="H119" i="1"/>
  <c r="H120" i="1"/>
  <c r="H121" i="1"/>
  <c r="H122" i="1"/>
  <c r="H125" i="1"/>
  <c r="H126" i="1"/>
  <c r="H128" i="1"/>
  <c r="H130" i="1"/>
  <c r="H131" i="1"/>
  <c r="H134" i="1"/>
  <c r="H135" i="1"/>
  <c r="H136" i="1"/>
  <c r="H137" i="1"/>
  <c r="H138" i="1"/>
  <c r="H139" i="1"/>
  <c r="H140" i="1"/>
  <c r="H141" i="1"/>
  <c r="H146" i="1"/>
  <c r="H148" i="1"/>
  <c r="H149" i="1"/>
  <c r="H152" i="1"/>
  <c r="H153" i="1"/>
  <c r="H154" i="1"/>
  <c r="H156" i="1"/>
  <c r="H159" i="1"/>
  <c r="H161" i="1"/>
  <c r="H167" i="1"/>
  <c r="H169" i="1"/>
  <c r="H173" i="1"/>
  <c r="H175" i="1"/>
  <c r="H176" i="1"/>
  <c r="H177" i="1"/>
  <c r="H179" i="1"/>
  <c r="H180" i="1"/>
  <c r="H182" i="1"/>
  <c r="H184" i="1"/>
  <c r="H185" i="1"/>
  <c r="H186" i="1"/>
  <c r="H188" i="1"/>
  <c r="H189" i="1"/>
  <c r="H190" i="1"/>
  <c r="H191" i="1"/>
  <c r="H192" i="1"/>
  <c r="H197" i="1"/>
  <c r="H201" i="1"/>
  <c r="H202" i="1"/>
  <c r="H205" i="1"/>
  <c r="H206" i="1"/>
  <c r="H207" i="1"/>
  <c r="H209" i="1"/>
  <c r="H210" i="1"/>
  <c r="H211" i="1"/>
  <c r="H213" i="1"/>
  <c r="H214" i="1"/>
  <c r="H216" i="1"/>
  <c r="H217" i="1"/>
  <c r="H218" i="1"/>
  <c r="H220" i="1"/>
  <c r="H222" i="1"/>
  <c r="H224" i="1"/>
  <c r="H225" i="1"/>
  <c r="H246" i="1"/>
  <c r="G253" i="2" l="1"/>
  <c r="H253" i="2"/>
  <c r="G252" i="2"/>
  <c r="H252" i="2"/>
  <c r="G251" i="2"/>
  <c r="H251" i="2"/>
  <c r="G250" i="2"/>
  <c r="H250" i="2"/>
  <c r="G249" i="2"/>
  <c r="H249" i="2"/>
  <c r="G248" i="2"/>
  <c r="H248" i="2"/>
  <c r="G247" i="2"/>
  <c r="H247" i="2"/>
  <c r="G246" i="2"/>
  <c r="H246" i="2"/>
  <c r="G245" i="2"/>
  <c r="H245" i="2"/>
  <c r="G244" i="2"/>
  <c r="H244" i="2"/>
  <c r="G243" i="2"/>
  <c r="H243" i="2"/>
  <c r="G242" i="2"/>
  <c r="H242" i="2"/>
  <c r="G240" i="2"/>
  <c r="H240" i="2"/>
  <c r="G239" i="2"/>
  <c r="H239" i="2"/>
  <c r="G238" i="2"/>
  <c r="H238" i="2"/>
  <c r="G237" i="2"/>
  <c r="H237" i="2"/>
  <c r="G236" i="2"/>
  <c r="H236" i="2"/>
  <c r="G235" i="2"/>
  <c r="H235" i="2"/>
  <c r="G234" i="2"/>
  <c r="H234" i="2"/>
  <c r="G233" i="2"/>
  <c r="H233" i="2"/>
  <c r="G232" i="2"/>
  <c r="H232" i="2"/>
  <c r="G231" i="2"/>
  <c r="H231" i="2"/>
  <c r="G230" i="2"/>
  <c r="H230" i="2"/>
  <c r="G229" i="2"/>
  <c r="H229" i="2"/>
  <c r="G227" i="2"/>
  <c r="H227" i="2"/>
  <c r="G226" i="2"/>
  <c r="H226" i="2"/>
  <c r="G225" i="2"/>
  <c r="H225" i="2"/>
  <c r="G224" i="2"/>
  <c r="H224" i="2"/>
  <c r="G223" i="2"/>
  <c r="H223" i="2"/>
  <c r="G222" i="2"/>
  <c r="H222" i="2"/>
  <c r="G221" i="2"/>
  <c r="H221" i="2"/>
  <c r="G220" i="2"/>
  <c r="H220" i="2"/>
  <c r="G219" i="2"/>
  <c r="H219" i="2"/>
  <c r="H218" i="2"/>
  <c r="G218" i="2"/>
  <c r="G217" i="2"/>
  <c r="H217" i="2"/>
  <c r="G216" i="2"/>
  <c r="H216" i="2"/>
  <c r="G215" i="2"/>
  <c r="H215" i="2"/>
  <c r="G214" i="2"/>
  <c r="H214" i="2"/>
  <c r="G213" i="2"/>
  <c r="H213" i="2"/>
  <c r="G212" i="2"/>
  <c r="H212" i="2"/>
  <c r="G211" i="2"/>
  <c r="H211" i="2"/>
  <c r="G210" i="2"/>
  <c r="H210" i="2"/>
  <c r="G209" i="2"/>
  <c r="H209" i="2"/>
  <c r="G208" i="2"/>
  <c r="H208" i="2"/>
  <c r="G207" i="2"/>
  <c r="H207" i="2"/>
  <c r="G206" i="2"/>
  <c r="H206" i="2"/>
  <c r="G205" i="2"/>
  <c r="H205" i="2"/>
  <c r="G204" i="2"/>
  <c r="H204" i="2"/>
  <c r="G203" i="2"/>
  <c r="H203" i="2"/>
  <c r="G202" i="2"/>
  <c r="H202" i="2"/>
  <c r="H201" i="2"/>
  <c r="G201" i="2"/>
  <c r="G200" i="2"/>
  <c r="H200" i="2"/>
  <c r="G199" i="2"/>
  <c r="H199" i="2"/>
  <c r="H198" i="2"/>
  <c r="G198" i="2"/>
  <c r="H197" i="2"/>
  <c r="G197" i="2"/>
  <c r="H196" i="2"/>
  <c r="G196" i="2"/>
  <c r="G195" i="2"/>
  <c r="H195" i="2"/>
  <c r="G194" i="2"/>
  <c r="H194" i="2"/>
  <c r="G192" i="2"/>
  <c r="H192" i="2"/>
  <c r="G191" i="2"/>
  <c r="H191" i="2"/>
  <c r="G190" i="2"/>
  <c r="H190" i="2"/>
  <c r="G189" i="2"/>
  <c r="H189" i="2"/>
  <c r="G188" i="2"/>
  <c r="H188" i="2"/>
  <c r="G187" i="2"/>
  <c r="H187" i="2"/>
  <c r="G186" i="2"/>
  <c r="H186" i="2"/>
  <c r="H185" i="2"/>
  <c r="G185" i="2"/>
  <c r="G184" i="2"/>
  <c r="H184" i="2"/>
  <c r="H183" i="2"/>
  <c r="G183" i="2"/>
  <c r="H182" i="2"/>
  <c r="G182" i="2"/>
  <c r="G181" i="2"/>
  <c r="H181" i="2"/>
  <c r="G193" i="2"/>
  <c r="H193" i="2"/>
  <c r="H180" i="2"/>
  <c r="G180" i="2"/>
  <c r="G179" i="2"/>
  <c r="H179" i="2"/>
  <c r="H178" i="2"/>
  <c r="G178" i="2"/>
  <c r="H177" i="2"/>
  <c r="G177" i="2"/>
  <c r="G176" i="2"/>
  <c r="H176" i="2"/>
  <c r="H175" i="2"/>
  <c r="G175" i="2"/>
  <c r="H174" i="2"/>
  <c r="G174" i="2"/>
  <c r="G173" i="2"/>
  <c r="H173" i="2"/>
  <c r="G172" i="2"/>
  <c r="H172" i="2"/>
  <c r="H171" i="2"/>
  <c r="G171" i="2"/>
  <c r="H170" i="2"/>
  <c r="G170" i="2"/>
  <c r="G169" i="2"/>
  <c r="H169" i="2"/>
  <c r="G168" i="2"/>
  <c r="H168" i="2"/>
  <c r="H167" i="2"/>
  <c r="G167" i="2"/>
  <c r="G166" i="2"/>
  <c r="H166" i="2"/>
  <c r="G165" i="2"/>
  <c r="H165" i="2"/>
  <c r="G164" i="2"/>
  <c r="H164" i="2"/>
  <c r="H163" i="2"/>
  <c r="G163" i="2"/>
  <c r="G162" i="2"/>
  <c r="H162" i="2"/>
  <c r="G161" i="2"/>
  <c r="H161" i="2"/>
  <c r="H160" i="2"/>
  <c r="G160" i="2"/>
  <c r="H159" i="2"/>
  <c r="G159" i="2"/>
  <c r="G158" i="2"/>
  <c r="H158" i="2"/>
  <c r="G157" i="2"/>
  <c r="H157" i="2"/>
  <c r="H155" i="2"/>
  <c r="G155" i="2"/>
  <c r="G154" i="2"/>
  <c r="H154" i="2"/>
  <c r="G153" i="2"/>
  <c r="H153" i="2"/>
  <c r="G152" i="2"/>
  <c r="H152" i="2"/>
  <c r="G151" i="2"/>
  <c r="H151" i="2"/>
  <c r="G150" i="2"/>
  <c r="H150" i="2"/>
  <c r="G149" i="2"/>
  <c r="H149" i="2"/>
  <c r="H148" i="2"/>
  <c r="G148" i="2"/>
  <c r="G147" i="2"/>
  <c r="H147" i="2"/>
  <c r="G146" i="2"/>
  <c r="H146" i="2"/>
  <c r="G145" i="2"/>
  <c r="H145" i="2"/>
  <c r="G144" i="2"/>
  <c r="H144" i="2"/>
  <c r="H143" i="2"/>
  <c r="G143" i="2"/>
  <c r="G156" i="2"/>
  <c r="H156" i="2"/>
  <c r="G142" i="2"/>
  <c r="H142" i="2"/>
  <c r="H141" i="2"/>
  <c r="G141" i="2"/>
  <c r="G140" i="2"/>
  <c r="H140" i="2"/>
  <c r="G139" i="2"/>
  <c r="H139" i="2"/>
  <c r="G138" i="2"/>
  <c r="H138" i="2"/>
  <c r="G137" i="2"/>
  <c r="H137" i="2"/>
  <c r="G135" i="2"/>
  <c r="H135" i="2"/>
  <c r="G134" i="2"/>
  <c r="H134" i="2"/>
  <c r="G133" i="2"/>
  <c r="H133" i="2"/>
  <c r="G132" i="2"/>
  <c r="H132" i="2"/>
  <c r="G131" i="2"/>
  <c r="H131" i="2"/>
  <c r="G130" i="2"/>
  <c r="H130" i="2"/>
  <c r="G129" i="2"/>
  <c r="H129" i="2"/>
  <c r="G128" i="2"/>
  <c r="H128" i="2"/>
  <c r="G127" i="2"/>
  <c r="H127" i="2"/>
  <c r="H126" i="2"/>
  <c r="G126" i="2"/>
  <c r="G125" i="2"/>
  <c r="H125" i="2"/>
  <c r="H124" i="2"/>
  <c r="G124" i="2"/>
  <c r="H123" i="2"/>
  <c r="G123" i="2"/>
  <c r="H121" i="2"/>
  <c r="G121" i="2"/>
  <c r="H120" i="2"/>
  <c r="G120" i="2"/>
  <c r="G119" i="2"/>
  <c r="H119" i="2"/>
  <c r="H118" i="2"/>
  <c r="G118" i="2"/>
  <c r="H117" i="2"/>
  <c r="G117" i="2"/>
  <c r="G116" i="2"/>
  <c r="H116" i="2"/>
  <c r="H115" i="2"/>
  <c r="G115" i="2"/>
  <c r="G114" i="2"/>
  <c r="H114" i="2"/>
  <c r="H113" i="2"/>
  <c r="G113" i="2"/>
  <c r="G112" i="2"/>
  <c r="H112" i="2"/>
  <c r="H111" i="2"/>
  <c r="G111" i="2"/>
  <c r="G110" i="2"/>
  <c r="H110" i="2"/>
  <c r="G122" i="2"/>
  <c r="H122" i="2"/>
  <c r="G109" i="2"/>
  <c r="H109" i="2"/>
  <c r="G108" i="2"/>
  <c r="H108" i="2"/>
  <c r="G107" i="2"/>
  <c r="H107" i="2"/>
  <c r="G106" i="2"/>
  <c r="H106" i="2"/>
  <c r="G105" i="2"/>
  <c r="H105" i="2"/>
  <c r="H104" i="2"/>
  <c r="G104" i="2"/>
  <c r="G103" i="2"/>
  <c r="H103" i="2"/>
  <c r="G101" i="2"/>
  <c r="H101" i="2"/>
  <c r="G100" i="2"/>
  <c r="H100" i="2"/>
  <c r="G98" i="2"/>
  <c r="H98" i="2"/>
  <c r="G97" i="2"/>
  <c r="H97" i="2"/>
  <c r="H96" i="2"/>
  <c r="G96" i="2"/>
  <c r="H95" i="2"/>
  <c r="G95" i="2"/>
  <c r="G94" i="2"/>
  <c r="H94" i="2"/>
  <c r="H93" i="2"/>
  <c r="G93" i="2"/>
  <c r="G92" i="2"/>
  <c r="H92" i="2"/>
  <c r="H91" i="2"/>
  <c r="G91" i="2"/>
  <c r="G90" i="2"/>
  <c r="H90" i="2"/>
  <c r="H89" i="2"/>
  <c r="G89" i="2"/>
  <c r="G88" i="2"/>
  <c r="H88" i="2"/>
  <c r="G87" i="2"/>
  <c r="H87" i="2"/>
  <c r="G86" i="2"/>
  <c r="H86" i="2"/>
  <c r="H85" i="2"/>
  <c r="G85" i="2"/>
  <c r="G84" i="2"/>
  <c r="H84" i="2"/>
  <c r="G83" i="2"/>
  <c r="H83" i="2"/>
  <c r="H82" i="2"/>
  <c r="G82" i="2"/>
  <c r="H81" i="2"/>
  <c r="G81" i="2"/>
  <c r="H80" i="2"/>
  <c r="G80" i="2"/>
  <c r="G79" i="2"/>
  <c r="H79" i="2"/>
  <c r="G78" i="2"/>
  <c r="H78" i="2"/>
  <c r="G77" i="2"/>
  <c r="H77" i="2"/>
  <c r="G76" i="2"/>
  <c r="H76" i="2"/>
  <c r="G75" i="2"/>
  <c r="H75" i="2"/>
  <c r="G74" i="2"/>
  <c r="H74" i="2"/>
  <c r="G73" i="2"/>
  <c r="H73" i="2"/>
  <c r="G72" i="2"/>
  <c r="H72" i="2"/>
  <c r="H71" i="2"/>
  <c r="G71" i="2"/>
  <c r="G70" i="2"/>
  <c r="H70" i="2"/>
  <c r="G68" i="2"/>
  <c r="H68" i="2"/>
  <c r="G67" i="2"/>
  <c r="H67" i="2"/>
  <c r="H66" i="2"/>
  <c r="G66" i="2"/>
  <c r="G65" i="2"/>
  <c r="H65" i="2"/>
  <c r="H64" i="2"/>
  <c r="G64" i="2"/>
  <c r="H63" i="2"/>
  <c r="G63" i="2"/>
  <c r="G62" i="2"/>
  <c r="H62" i="2"/>
  <c r="G61" i="2"/>
  <c r="H61" i="2"/>
  <c r="G60" i="2"/>
  <c r="H60" i="2"/>
  <c r="H59" i="2"/>
  <c r="G59" i="2"/>
  <c r="H58" i="2"/>
  <c r="G58" i="2"/>
  <c r="G57" i="2"/>
  <c r="H57" i="2"/>
  <c r="H56" i="2"/>
  <c r="G56" i="2"/>
  <c r="G69" i="2"/>
  <c r="H69" i="2"/>
  <c r="G55" i="2"/>
  <c r="H55" i="2"/>
  <c r="H54" i="2"/>
  <c r="G54" i="2"/>
  <c r="H53" i="2"/>
  <c r="G53" i="2"/>
  <c r="G52" i="2"/>
  <c r="H52" i="2"/>
  <c r="G51" i="2"/>
  <c r="H51" i="2"/>
  <c r="G50" i="2"/>
  <c r="H50" i="2"/>
  <c r="G49" i="2"/>
  <c r="H49" i="2"/>
  <c r="G48" i="2"/>
  <c r="H48" i="2"/>
  <c r="G47" i="2"/>
  <c r="H47" i="2"/>
  <c r="G46" i="2"/>
  <c r="H46" i="2"/>
  <c r="G45" i="2"/>
  <c r="H45" i="2"/>
  <c r="G44" i="2"/>
  <c r="H44" i="2"/>
  <c r="G43" i="2"/>
  <c r="H43" i="2"/>
  <c r="G42" i="2"/>
  <c r="H42" i="2"/>
  <c r="G41" i="2"/>
  <c r="H41" i="2"/>
  <c r="G40" i="2"/>
  <c r="H40" i="2"/>
  <c r="G39" i="2"/>
  <c r="H39" i="2"/>
  <c r="G38" i="2"/>
  <c r="H38" i="2"/>
  <c r="G37" i="2"/>
  <c r="H37" i="2"/>
  <c r="G36" i="2"/>
  <c r="H36" i="2"/>
  <c r="G35" i="2"/>
  <c r="H35" i="2"/>
  <c r="G34" i="2"/>
  <c r="H34" i="2"/>
  <c r="G33" i="2"/>
  <c r="H33" i="2"/>
  <c r="G32" i="2"/>
  <c r="H32" i="2"/>
  <c r="G31" i="2"/>
  <c r="H31" i="2"/>
  <c r="G30" i="2"/>
  <c r="H30" i="2"/>
  <c r="G29" i="2"/>
  <c r="H29" i="2"/>
  <c r="G28" i="2"/>
  <c r="H28" i="2"/>
  <c r="G27" i="2"/>
  <c r="H27" i="2"/>
  <c r="G26" i="2"/>
  <c r="H26" i="2"/>
  <c r="G25" i="2"/>
  <c r="H25" i="2"/>
  <c r="G24" i="2"/>
  <c r="H24" i="2"/>
  <c r="G23" i="2"/>
  <c r="H23" i="2"/>
  <c r="G22" i="2"/>
  <c r="H22" i="2"/>
  <c r="G21" i="2"/>
  <c r="H21" i="2"/>
  <c r="G20" i="2"/>
  <c r="H20" i="2"/>
  <c r="G19" i="2"/>
  <c r="H19" i="2"/>
  <c r="G18" i="2"/>
  <c r="H18" i="2"/>
  <c r="G17" i="2"/>
  <c r="H17" i="2"/>
  <c r="G16" i="2"/>
  <c r="H16" i="2"/>
  <c r="G15" i="2"/>
  <c r="H15" i="2"/>
  <c r="H102" i="2"/>
  <c r="G102" i="2"/>
  <c r="H99" i="2"/>
  <c r="G99" i="2"/>
  <c r="H90" i="1"/>
  <c r="H94" i="1"/>
  <c r="H95" i="1"/>
  <c r="H97" i="1"/>
  <c r="H99" i="1"/>
  <c r="H100" i="1"/>
  <c r="H101" i="1"/>
  <c r="H102" i="1"/>
  <c r="H104" i="1"/>
  <c r="H106" i="1"/>
  <c r="H107" i="1"/>
  <c r="H110" i="1"/>
  <c r="H113" i="1"/>
  <c r="H116" i="1"/>
  <c r="H117" i="1"/>
  <c r="H123" i="1"/>
  <c r="H124" i="1"/>
  <c r="H127" i="1"/>
  <c r="H132" i="1"/>
  <c r="H133" i="1"/>
  <c r="H165" i="1"/>
  <c r="H203" i="1"/>
  <c r="H204" i="1"/>
  <c r="H142" i="1"/>
  <c r="H198" i="1"/>
  <c r="H199" i="1"/>
  <c r="H200" i="1"/>
  <c r="H240" i="1"/>
  <c r="H241" i="1"/>
  <c r="H242" i="1"/>
  <c r="H243" i="1"/>
  <c r="H244" i="1"/>
  <c r="H245" i="1"/>
  <c r="H76" i="1"/>
  <c r="H247" i="1"/>
  <c r="H249" i="1"/>
  <c r="H250" i="1"/>
  <c r="H251" i="1"/>
  <c r="H253" i="1"/>
  <c r="H215" i="1"/>
  <c r="H32" i="1"/>
  <c r="H33" i="1"/>
  <c r="H34" i="1"/>
  <c r="H35" i="1"/>
  <c r="H36" i="1"/>
  <c r="H38" i="1"/>
  <c r="H47" i="1"/>
  <c r="H56" i="1"/>
  <c r="H40" i="1"/>
  <c r="H41" i="1"/>
  <c r="H42" i="1"/>
  <c r="H59" i="1"/>
  <c r="H112" i="1"/>
  <c r="H252" i="1"/>
  <c r="H60" i="1"/>
  <c r="H62" i="1"/>
  <c r="H63" i="1"/>
  <c r="H64" i="1"/>
  <c r="H65" i="1"/>
  <c r="H68" i="1"/>
  <c r="H69" i="1"/>
  <c r="H70" i="1"/>
  <c r="H71" i="1"/>
  <c r="H72" i="1"/>
  <c r="H73" i="1"/>
  <c r="H74" i="1"/>
  <c r="H88" i="1"/>
  <c r="H91" i="1"/>
  <c r="H82" i="1"/>
  <c r="H89" i="1"/>
  <c r="H103" i="1"/>
  <c r="H129" i="1"/>
  <c r="H143" i="1"/>
  <c r="H144" i="1"/>
  <c r="H145" i="1"/>
  <c r="H147" i="1"/>
  <c r="H150" i="1"/>
  <c r="H151" i="1"/>
  <c r="H155" i="1"/>
  <c r="H157" i="1"/>
  <c r="H158" i="1"/>
  <c r="H160" i="1"/>
  <c r="H162" i="1"/>
  <c r="H163" i="1"/>
  <c r="H164" i="1"/>
  <c r="H166" i="1"/>
  <c r="H168" i="1"/>
  <c r="H170" i="1"/>
  <c r="H171" i="1"/>
  <c r="H172" i="1"/>
  <c r="H174" i="1"/>
  <c r="H178" i="1"/>
  <c r="H181" i="1"/>
  <c r="H183" i="1"/>
  <c r="H187" i="1"/>
  <c r="H193" i="1"/>
  <c r="H194" i="1"/>
  <c r="H195" i="1"/>
  <c r="H196" i="1"/>
  <c r="H208" i="1"/>
  <c r="H212" i="1"/>
  <c r="H219" i="1"/>
  <c r="H221" i="1"/>
  <c r="H223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8" i="1"/>
  <c r="H16" i="1"/>
  <c r="G16" i="1"/>
  <c r="G17" i="1"/>
  <c r="H17" i="1"/>
  <c r="H18" i="1"/>
  <c r="G18" i="1"/>
  <c r="G19" i="1"/>
  <c r="H19" i="1"/>
  <c r="H20" i="1"/>
  <c r="G20" i="1"/>
  <c r="G21" i="1"/>
  <c r="H21" i="1"/>
  <c r="H22" i="1"/>
  <c r="G22" i="1"/>
  <c r="G23" i="1"/>
  <c r="H23" i="1"/>
  <c r="G24" i="1"/>
  <c r="H24" i="1"/>
  <c r="G25" i="1"/>
  <c r="H25" i="1"/>
  <c r="G26" i="1"/>
  <c r="H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H15" i="1"/>
  <c r="G15" i="1"/>
  <c r="J3" i="2" l="1"/>
  <c r="K3" i="2"/>
  <c r="J3" i="1"/>
  <c r="K3" i="1"/>
</calcChain>
</file>

<file path=xl/sharedStrings.xml><?xml version="1.0" encoding="utf-8"?>
<sst xmlns="http://schemas.openxmlformats.org/spreadsheetml/2006/main" count="20" uniqueCount="10">
  <si>
    <t>Date</t>
  </si>
  <si>
    <t>NVDA</t>
  </si>
  <si>
    <t>PLTR</t>
  </si>
  <si>
    <t>Ratio_NVDA_PLTR</t>
  </si>
  <si>
    <t>Buy NVIDIA</t>
  </si>
  <si>
    <t>Buy PLTR</t>
  </si>
  <si>
    <t>Return - Long Only</t>
  </si>
  <si>
    <t>Return - Long/Short</t>
  </si>
  <si>
    <t>Profit - Long Only</t>
  </si>
  <si>
    <t>Profit - Long/Short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</si>
</sst>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9" fontId="0" fillId="0" borderId="0" xfId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1" defaultTableStyle="TableStyleMedium9" defaultPivotStyle="PivotStyleLight16">
    <tableStyle name="Invisible" pivot="0" table="0" count="0" xr9:uid="{FACA0E0E-30E6-4936-AA88-9BADFCA9F1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4"/>
  <sheetViews>
    <sheetView topLeftCell="A211" zoomScale="67" workbookViewId="0">
      <selection activeCell="A211" sqref="A1:XFD1048576"/>
    </sheetView>
  </sheetViews>
  <sheetFormatPr defaultRowHeight="14.25" x14ac:dyDescent="0.45"/>
  <cols>
    <col min="1" max="1" width="25.9296875" bestFit="1" customWidth="1"/>
    <col min="4" max="4" width="16.06640625" bestFit="1" customWidth="1"/>
    <col min="5" max="5" width="10.265625" bestFit="1" customWidth="1"/>
    <col min="7" max="7" width="16.265625" bestFit="1" customWidth="1"/>
    <col min="8" max="8" width="17.33203125" bestFit="1" customWidth="1"/>
    <col min="9" max="9" width="17.33203125" customWidth="1"/>
    <col min="10" max="10" width="15.265625" bestFit="1" customWidth="1"/>
    <col min="11" max="11" width="16.2656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5" t="s">
        <v>8</v>
      </c>
      <c r="K1" s="5" t="s">
        <v>9</v>
      </c>
    </row>
    <row r="2" spans="1:11" x14ac:dyDescent="0.45">
      <c r="A2" s="2">
        <v>45728</v>
      </c>
      <c r="B2">
        <v>115.7127380371094</v>
      </c>
      <c r="C2">
        <v>83.650001525878906</v>
      </c>
      <c r="D2">
        <f>B2/C2</f>
        <v>1.3832963051568052</v>
      </c>
      <c r="G2" s="4"/>
    </row>
    <row r="3" spans="1:11" x14ac:dyDescent="0.45">
      <c r="A3" s="2">
        <v>45729</v>
      </c>
      <c r="B3">
        <v>115.5527725219727</v>
      </c>
      <c r="C3">
        <v>79.620002746582031</v>
      </c>
      <c r="D3">
        <f t="shared" ref="D3:D66" si="0">B3/C3</f>
        <v>1.4513032973605771</v>
      </c>
      <c r="G3" s="4"/>
      <c r="J3" s="6">
        <f>AVERAGE(G15:G254)</f>
        <v>8.5566619361457132E-3</v>
      </c>
      <c r="K3" s="7">
        <f>AVERAGE(H15:H265)</f>
        <v>1.15880078086166E-2</v>
      </c>
    </row>
    <row r="4" spans="1:11" x14ac:dyDescent="0.45">
      <c r="A4" s="2">
        <v>45730</v>
      </c>
      <c r="B4">
        <v>121.64133453369141</v>
      </c>
      <c r="C4">
        <v>86.239997863769531</v>
      </c>
      <c r="D4">
        <f t="shared" si="0"/>
        <v>1.410497884355751</v>
      </c>
      <c r="G4" s="4"/>
    </row>
    <row r="5" spans="1:11" x14ac:dyDescent="0.45">
      <c r="A5" s="2">
        <v>45733</v>
      </c>
      <c r="B5">
        <v>119.501838684082</v>
      </c>
      <c r="C5">
        <v>87.349998474121094</v>
      </c>
      <c r="D5">
        <f t="shared" si="0"/>
        <v>1.368080604139752</v>
      </c>
      <c r="G5" s="4"/>
    </row>
    <row r="6" spans="1:11" x14ac:dyDescent="0.45">
      <c r="A6" s="2">
        <v>45734</v>
      </c>
      <c r="B6">
        <v>115.40280914306641</v>
      </c>
      <c r="C6">
        <v>83.889999389648438</v>
      </c>
      <c r="D6">
        <f t="shared" si="0"/>
        <v>1.3756444150994531</v>
      </c>
      <c r="G6" s="4"/>
    </row>
    <row r="7" spans="1:11" x14ac:dyDescent="0.45">
      <c r="A7" s="2">
        <v>45735</v>
      </c>
      <c r="B7">
        <v>117.492317199707</v>
      </c>
      <c r="C7">
        <v>86.099998474121094</v>
      </c>
      <c r="D7">
        <f t="shared" si="0"/>
        <v>1.3646030114044827</v>
      </c>
      <c r="G7" s="4"/>
    </row>
    <row r="8" spans="1:11" x14ac:dyDescent="0.45">
      <c r="A8" s="2">
        <v>45736</v>
      </c>
      <c r="B8">
        <v>118.502067565918</v>
      </c>
      <c r="C8">
        <v>87.389999389648438</v>
      </c>
      <c r="D8">
        <f t="shared" si="0"/>
        <v>1.356014056454552</v>
      </c>
    </row>
    <row r="9" spans="1:11" x14ac:dyDescent="0.45">
      <c r="A9" s="2">
        <v>45737</v>
      </c>
      <c r="B9">
        <v>117.67226409912109</v>
      </c>
      <c r="C9">
        <v>90.959999084472656</v>
      </c>
      <c r="D9">
        <f t="shared" si="0"/>
        <v>1.2936704626595401</v>
      </c>
    </row>
    <row r="10" spans="1:11" x14ac:dyDescent="0.45">
      <c r="A10" s="2">
        <v>45740</v>
      </c>
      <c r="B10">
        <v>121.3814010620117</v>
      </c>
      <c r="C10">
        <v>96.75</v>
      </c>
      <c r="D10">
        <f t="shared" si="0"/>
        <v>1.2545881246719557</v>
      </c>
    </row>
    <row r="11" spans="1:11" x14ac:dyDescent="0.45">
      <c r="A11" s="2">
        <v>45741</v>
      </c>
      <c r="B11">
        <v>120.6615676879883</v>
      </c>
      <c r="C11">
        <v>96.5</v>
      </c>
      <c r="D11">
        <f t="shared" si="0"/>
        <v>1.2503789397718994</v>
      </c>
    </row>
    <row r="12" spans="1:11" x14ac:dyDescent="0.45">
      <c r="A12" s="2">
        <v>45742</v>
      </c>
      <c r="B12">
        <v>113.7332000732422</v>
      </c>
      <c r="C12">
        <v>92.279998779296875</v>
      </c>
      <c r="D12">
        <f t="shared" si="0"/>
        <v>1.2324794275870579</v>
      </c>
    </row>
    <row r="13" spans="1:11" x14ac:dyDescent="0.45">
      <c r="A13" s="2">
        <v>45743</v>
      </c>
      <c r="B13">
        <v>111.4037551879883</v>
      </c>
      <c r="C13">
        <v>90.089996337890625</v>
      </c>
      <c r="D13">
        <f t="shared" si="0"/>
        <v>1.2365829694360126</v>
      </c>
    </row>
    <row r="14" spans="1:11" x14ac:dyDescent="0.45">
      <c r="A14" s="2">
        <v>45744</v>
      </c>
      <c r="B14">
        <v>109.6441650390625</v>
      </c>
      <c r="C14">
        <v>85.849998474121094</v>
      </c>
      <c r="D14">
        <f t="shared" si="0"/>
        <v>1.2771597785422675</v>
      </c>
    </row>
    <row r="15" spans="1:11" x14ac:dyDescent="0.45">
      <c r="A15" s="2">
        <v>45747</v>
      </c>
      <c r="B15">
        <v>108.3544616699219</v>
      </c>
      <c r="C15">
        <v>84.400001525878906</v>
      </c>
      <c r="D15">
        <f t="shared" si="0"/>
        <v>1.2838206126891838</v>
      </c>
      <c r="E15">
        <f>IF(D15&gt;(AVERAGE(D2:D14)),1,0)</f>
        <v>0</v>
      </c>
      <c r="F15">
        <f>IF(D15&lt;(AVERAGE(D2:D14)),1,0)</f>
        <v>1</v>
      </c>
      <c r="G15" s="3">
        <f>E15*((B15-B14)/B14)+F15*((C15-C14)/C14)</f>
        <v>-1.6889889039185941E-2</v>
      </c>
      <c r="H15">
        <f>E15*(((B15-B14)/B14) - ((C15-C14)/C14))+F15*(((C15-C14)/C14)-((B15-B14)/B14))</f>
        <v>-5.1272624673011635E-3</v>
      </c>
    </row>
    <row r="16" spans="1:11" x14ac:dyDescent="0.45">
      <c r="A16" s="2">
        <v>45748</v>
      </c>
      <c r="B16">
        <v>110.1240539550781</v>
      </c>
      <c r="C16">
        <v>84.680000305175781</v>
      </c>
      <c r="D16">
        <f t="shared" si="0"/>
        <v>1.3004729990340722</v>
      </c>
      <c r="E16">
        <f t="shared" ref="E16:E79" si="1">IF(D16&gt;(AVERAGE(D3:D15)),1,0)</f>
        <v>0</v>
      </c>
      <c r="F16">
        <f t="shared" ref="F16:F79" si="2">IF(D16&lt;(AVERAGE(D3:D15)),1,0)</f>
        <v>1</v>
      </c>
      <c r="G16" s="3">
        <f>E16*((B16-B15)/B15)+F16*((C16-C15)/C15)</f>
        <v>3.3175210217386217E-3</v>
      </c>
      <c r="H16">
        <f>E16*(((B16-B15)/B15) - ((C16-C15)/C15))+F16*(((C16-C15)/C15)-((B16-B15)/B15))</f>
        <v>-1.3013991847079534E-2</v>
      </c>
    </row>
    <row r="17" spans="1:8" x14ac:dyDescent="0.45">
      <c r="A17" s="2">
        <v>45749</v>
      </c>
      <c r="B17">
        <v>110.39398193359381</v>
      </c>
      <c r="C17">
        <v>87.449996948242188</v>
      </c>
      <c r="D17">
        <f t="shared" si="0"/>
        <v>1.2623669043571397</v>
      </c>
      <c r="E17">
        <f t="shared" si="1"/>
        <v>0</v>
      </c>
      <c r="F17">
        <f t="shared" si="2"/>
        <v>1</v>
      </c>
      <c r="G17" s="3">
        <f>E17*((B17-B16)/B16)+F17*((C17-C16)/C16)</f>
        <v>3.2711344273543885E-2</v>
      </c>
      <c r="H17">
        <f>E17*(((B17-B16)/B16) - ((C17-C16)/C16))+F17*(((C17-C16)/C16)-((B17-B16)/B16))</f>
        <v>3.0260217850012296E-2</v>
      </c>
    </row>
    <row r="18" spans="1:8" x14ac:dyDescent="0.45">
      <c r="A18" s="2">
        <v>45750</v>
      </c>
      <c r="B18">
        <v>101.77602386474609</v>
      </c>
      <c r="C18">
        <v>83.599998474121094</v>
      </c>
      <c r="D18">
        <f t="shared" si="0"/>
        <v>1.2174165756265116</v>
      </c>
      <c r="E18">
        <f t="shared" si="1"/>
        <v>0</v>
      </c>
      <c r="F18">
        <f t="shared" si="2"/>
        <v>1</v>
      </c>
      <c r="G18" s="3">
        <f>E18*((B18-B17)/B17)+F18*((C18-C17)/C17)</f>
        <v>-4.4025141320470702E-2</v>
      </c>
      <c r="H18">
        <f>E18*(((B18-B17)/B17) - ((C18-C17)/C17))+F18*(((C18-C17)/C17)-((B18-B17)/B17))</f>
        <v>3.4040328534867458E-2</v>
      </c>
    </row>
    <row r="19" spans="1:8" x14ac:dyDescent="0.45">
      <c r="A19" s="2">
        <v>45751</v>
      </c>
      <c r="B19">
        <v>94.28778076171875</v>
      </c>
      <c r="C19">
        <v>74.010002136230469</v>
      </c>
      <c r="D19">
        <f t="shared" si="0"/>
        <v>1.2739870022995392</v>
      </c>
      <c r="E19">
        <f t="shared" si="1"/>
        <v>0</v>
      </c>
      <c r="F19">
        <f t="shared" si="2"/>
        <v>1</v>
      </c>
      <c r="G19" s="3">
        <f>E19*((B19-B18)/B18)+F19*((C19-C18)/C18)</f>
        <v>-0.11471287694890651</v>
      </c>
      <c r="H19">
        <f>E19*(((B19-B18)/B18) - ((C19-C18)/C18))+F19*(((C19-C18)/C18)-((B19-B18)/B18))</f>
        <v>-4.1137168067031299E-2</v>
      </c>
    </row>
    <row r="20" spans="1:8" x14ac:dyDescent="0.45">
      <c r="A20" s="2">
        <v>45754</v>
      </c>
      <c r="B20">
        <v>97.616989135742188</v>
      </c>
      <c r="C20">
        <v>77.839996337890625</v>
      </c>
      <c r="D20">
        <f t="shared" si="0"/>
        <v>1.2540723757488745</v>
      </c>
      <c r="E20">
        <f t="shared" si="1"/>
        <v>0</v>
      </c>
      <c r="F20">
        <f t="shared" si="2"/>
        <v>1</v>
      </c>
      <c r="G20" s="3">
        <f>E20*((B20-B19)/B19)+F20*((C20-C19)/C19)</f>
        <v>5.174968370640326E-2</v>
      </c>
      <c r="H20">
        <f>E20*(((B20-B19)/B19) - ((C20-C19)/C19))+F20*(((C20-C19)/C19)-((B20-B19)/B19))</f>
        <v>1.6440671794913764E-2</v>
      </c>
    </row>
    <row r="21" spans="1:8" x14ac:dyDescent="0.45">
      <c r="A21" s="2">
        <v>45755</v>
      </c>
      <c r="B21">
        <v>96.277313232421875</v>
      </c>
      <c r="C21">
        <v>77.319999694824219</v>
      </c>
      <c r="D21">
        <f t="shared" si="0"/>
        <v>1.2451799484275821</v>
      </c>
      <c r="E21">
        <f t="shared" si="1"/>
        <v>0</v>
      </c>
      <c r="F21">
        <f t="shared" si="2"/>
        <v>1</v>
      </c>
      <c r="G21" s="3">
        <f>E21*((B21-B20)/B20)+F21*((C21-C20)/C20)</f>
        <v>-6.6803271779354448E-3</v>
      </c>
      <c r="H21">
        <f>E21*(((B21-B20)/B20) - ((C21-C20)/C20))+F21*(((C21-C20)/C20)-((B21-B20)/B20))</f>
        <v>7.0434714679889253E-3</v>
      </c>
    </row>
    <row r="22" spans="1:8" x14ac:dyDescent="0.45">
      <c r="A22" s="2">
        <v>45756</v>
      </c>
      <c r="B22">
        <v>114.3030700683594</v>
      </c>
      <c r="C22">
        <v>92.010002136230469</v>
      </c>
      <c r="D22">
        <f t="shared" si="0"/>
        <v>1.2422896143304258</v>
      </c>
      <c r="E22">
        <f t="shared" si="1"/>
        <v>0</v>
      </c>
      <c r="F22">
        <f t="shared" si="2"/>
        <v>1</v>
      </c>
      <c r="G22" s="3">
        <f>E22*((B22-B21)/B21)+F22*((C22-C21)/C21)</f>
        <v>0.18998968571374161</v>
      </c>
      <c r="H22">
        <f>E22*(((B22-B21)/B21) - ((C22-C21)/C21))+F22*(((C22-C21)/C21)-((B22-B21)/B21))</f>
        <v>2.7622254664685097E-3</v>
      </c>
    </row>
    <row r="23" spans="1:8" x14ac:dyDescent="0.45">
      <c r="A23" s="2">
        <v>45757</v>
      </c>
      <c r="B23">
        <v>107.54465484619141</v>
      </c>
      <c r="C23">
        <v>88.589996337890625</v>
      </c>
      <c r="D23">
        <f t="shared" si="0"/>
        <v>1.2139593553656547</v>
      </c>
      <c r="E23">
        <f t="shared" si="1"/>
        <v>0</v>
      </c>
      <c r="F23">
        <f t="shared" si="2"/>
        <v>1</v>
      </c>
      <c r="G23" s="3">
        <f>E23*((B23-B22)/B22)+F23*((C23-C22)/C22)</f>
        <v>-3.7169934995503709E-2</v>
      </c>
      <c r="H23">
        <f>E23*(((B23-B22)/B22) - ((C23-C22)/C22))+F23*(((C23-C22)/C22)-((B23-B22)/B22))</f>
        <v>2.1957218965681237E-2</v>
      </c>
    </row>
    <row r="24" spans="1:8" x14ac:dyDescent="0.45">
      <c r="A24" s="2">
        <v>45758</v>
      </c>
      <c r="B24">
        <v>110.90386962890619</v>
      </c>
      <c r="C24">
        <v>88.550003051757813</v>
      </c>
      <c r="D24">
        <f t="shared" si="0"/>
        <v>1.2524434309062922</v>
      </c>
      <c r="E24">
        <f t="shared" si="1"/>
        <v>0</v>
      </c>
      <c r="F24">
        <f t="shared" si="2"/>
        <v>1</v>
      </c>
      <c r="G24" s="3">
        <f>E24*((B24-B23)/B23)+F24*((C24-C23)/C23)</f>
        <v>-4.5144246287441217E-4</v>
      </c>
      <c r="H24">
        <f>E24*(((B24-B23)/B23) - ((C24-C23)/C23))+F24*(((C24-C23)/C23)-((B24-B23)/B23))</f>
        <v>-3.1686977018441871E-2</v>
      </c>
    </row>
    <row r="25" spans="1:8" x14ac:dyDescent="0.45">
      <c r="A25" s="2">
        <v>45761</v>
      </c>
      <c r="B25">
        <v>110.6839218139648</v>
      </c>
      <c r="C25">
        <v>92.620002746582031</v>
      </c>
      <c r="D25">
        <f t="shared" si="0"/>
        <v>1.1950325904956787</v>
      </c>
      <c r="E25">
        <f t="shared" si="1"/>
        <v>0</v>
      </c>
      <c r="F25">
        <f t="shared" si="2"/>
        <v>1</v>
      </c>
      <c r="G25" s="3">
        <f>E25*((B25-B24)/B24)+F25*((C25-C24)/C24)</f>
        <v>4.5962727888843646E-2</v>
      </c>
      <c r="H25">
        <f>E25*(((B25-B24)/B24) - ((C25-C24)/C24))+F25*(((C25-C24)/C24)-((B25-B24)/B24))</f>
        <v>4.7945957289921862E-2</v>
      </c>
    </row>
    <row r="26" spans="1:8" x14ac:dyDescent="0.45">
      <c r="A26" s="2">
        <v>45762</v>
      </c>
      <c r="B26">
        <v>112.17356109619141</v>
      </c>
      <c r="C26">
        <v>98.400001525878906</v>
      </c>
      <c r="D26">
        <f t="shared" si="0"/>
        <v>1.1399751967147083</v>
      </c>
      <c r="E26">
        <f t="shared" si="1"/>
        <v>0</v>
      </c>
      <c r="F26">
        <f t="shared" si="2"/>
        <v>1</v>
      </c>
      <c r="G26" s="3">
        <f>E26*((B26-B25)/B25)+F26*((C26-C25)/C25)</f>
        <v>6.2405512933437858E-2</v>
      </c>
      <c r="H26">
        <f>E26*(((B26-B25)/B25) - ((C26-C25)/C25))+F26*(((C26-C25)/C25)-((B26-B25)/B25))</f>
        <v>4.8947015458706528E-2</v>
      </c>
    </row>
    <row r="27" spans="1:8" x14ac:dyDescent="0.45">
      <c r="A27" s="2">
        <v>45763</v>
      </c>
      <c r="B27">
        <v>104.4653854370117</v>
      </c>
      <c r="C27">
        <v>92.709999084472656</v>
      </c>
      <c r="D27">
        <f t="shared" si="0"/>
        <v>1.1267973947645942</v>
      </c>
      <c r="E27">
        <f t="shared" si="1"/>
        <v>0</v>
      </c>
      <c r="F27">
        <f t="shared" si="2"/>
        <v>1</v>
      </c>
      <c r="G27" s="3">
        <f>E27*((B27-B26)/B26)+F27*((C27-C26)/C26)</f>
        <v>-5.7825227166381665E-2</v>
      </c>
      <c r="H27">
        <f>E27*(((B27-B26)/B26) - ((C27-C26)/C26))+F27*(((C27-C26)/C26)-((B27-B26)/B26))</f>
        <v>1.0891283068768701E-2</v>
      </c>
    </row>
    <row r="28" spans="1:8" x14ac:dyDescent="0.45">
      <c r="A28" s="2">
        <v>45764</v>
      </c>
      <c r="B28">
        <v>101.46607971191411</v>
      </c>
      <c r="C28">
        <v>93.779998779296875</v>
      </c>
      <c r="D28">
        <f t="shared" si="0"/>
        <v>1.0819586375843933</v>
      </c>
      <c r="E28">
        <f t="shared" si="1"/>
        <v>0</v>
      </c>
      <c r="F28">
        <f t="shared" si="2"/>
        <v>1</v>
      </c>
      <c r="G28" s="3">
        <f>E28*((B28-B27)/B27)+F28*((C28-C27)/C27)</f>
        <v>1.1541362370732947E-2</v>
      </c>
      <c r="H28">
        <f>E28*(((B28-B27)/B27) - ((C28-C27)/C27))+F28*(((C28-C27)/C27)-((B28-B27)/B27))</f>
        <v>4.02523627901595E-2</v>
      </c>
    </row>
    <row r="29" spans="1:8" x14ac:dyDescent="0.45">
      <c r="A29" s="2">
        <v>45768</v>
      </c>
      <c r="B29">
        <v>96.887176513671875</v>
      </c>
      <c r="C29">
        <v>90.800003051757813</v>
      </c>
      <c r="D29">
        <f t="shared" si="0"/>
        <v>1.0670393530542532</v>
      </c>
      <c r="E29">
        <f t="shared" si="1"/>
        <v>0</v>
      </c>
      <c r="F29">
        <f t="shared" si="2"/>
        <v>1</v>
      </c>
      <c r="G29" s="3">
        <f>E29*((B29-B28)/B28)+F29*((C29-C28)/C28)</f>
        <v>-3.1776453042532286E-2</v>
      </c>
      <c r="H29">
        <f>E29*(((B29-B28)/B28) - ((C29-C28)/C28))+F29*(((C29-C28)/C28)-((B29-B28)/B28))</f>
        <v>1.3350974874686998E-2</v>
      </c>
    </row>
    <row r="30" spans="1:8" x14ac:dyDescent="0.45">
      <c r="A30" s="2">
        <v>45769</v>
      </c>
      <c r="B30">
        <v>98.866691589355469</v>
      </c>
      <c r="C30">
        <v>93.989997863769531</v>
      </c>
      <c r="D30">
        <f t="shared" si="0"/>
        <v>1.0518852413706221</v>
      </c>
      <c r="E30">
        <f t="shared" si="1"/>
        <v>0</v>
      </c>
      <c r="F30">
        <f t="shared" si="2"/>
        <v>1</v>
      </c>
      <c r="G30" s="3">
        <f>E30*((B30-B29)/B29)+F30*((C30-C29)/C29)</f>
        <v>3.5132100273095344E-2</v>
      </c>
      <c r="H30">
        <f>E30*(((B30-B29)/B29) - ((C30-C29)/C29))+F30*(((C30-C29)/C29)-((B30-B29)/B29))</f>
        <v>1.4700964317716753E-2</v>
      </c>
    </row>
    <row r="31" spans="1:8" x14ac:dyDescent="0.45">
      <c r="A31" s="2">
        <v>45770</v>
      </c>
      <c r="B31">
        <v>102.6857986450195</v>
      </c>
      <c r="C31">
        <v>100.8199996948242</v>
      </c>
      <c r="D31">
        <f t="shared" si="0"/>
        <v>1.0185062384035206</v>
      </c>
      <c r="E31">
        <f t="shared" si="1"/>
        <v>0</v>
      </c>
      <c r="F31">
        <f t="shared" si="2"/>
        <v>1</v>
      </c>
      <c r="G31" s="3">
        <f>E31*((B31-B30)/B30)+F31*((C31-C30)/C30)</f>
        <v>7.2667326165430673E-2</v>
      </c>
      <c r="H31">
        <f>E31*(((B31-B30)/B30) - ((C31-C30)/C30))+F31*(((C31-C30)/C30)-((B31-B30)/B30))</f>
        <v>3.403847155050372E-2</v>
      </c>
    </row>
    <row r="32" spans="1:8" x14ac:dyDescent="0.45">
      <c r="A32" s="2">
        <v>45771</v>
      </c>
      <c r="B32">
        <v>106.40492248535161</v>
      </c>
      <c r="C32">
        <v>107.7799987792969</v>
      </c>
      <c r="D32">
        <f t="shared" si="0"/>
        <v>0.98724182306996433</v>
      </c>
      <c r="E32">
        <f t="shared" si="1"/>
        <v>0</v>
      </c>
      <c r="F32">
        <f t="shared" si="2"/>
        <v>1</v>
      </c>
      <c r="G32" s="3">
        <f>E32*((B32-B31)/B31)+F32*((C32-C31)/C31)</f>
        <v>6.9033912969055533E-2</v>
      </c>
      <c r="H32">
        <f>E32*(((B32-B31)/B31) - ((C32-C31)/C31))+F32*(((C32-C31)/C31)-((B32-B31)/B31))</f>
        <v>3.2815430088195277E-2</v>
      </c>
    </row>
    <row r="33" spans="1:8" x14ac:dyDescent="0.45">
      <c r="A33" s="2">
        <v>45772</v>
      </c>
      <c r="B33">
        <v>110.9838562011719</v>
      </c>
      <c r="C33">
        <v>112.7799987792969</v>
      </c>
      <c r="D33">
        <f t="shared" si="0"/>
        <v>0.98407392624963641</v>
      </c>
      <c r="E33">
        <f t="shared" si="1"/>
        <v>0</v>
      </c>
      <c r="F33">
        <f t="shared" si="2"/>
        <v>1</v>
      </c>
      <c r="G33" s="3">
        <f>E33*((B33-B32)/B32)+F33*((C33-C32)/C32)</f>
        <v>4.6390796591476983E-2</v>
      </c>
      <c r="H33">
        <f>E33*(((B33-B32)/B32) - ((C33-C32)/C32))+F33*(((C33-C32)/C32)-((B33-B32)/B32))</f>
        <v>3.3576961590165919E-3</v>
      </c>
    </row>
    <row r="34" spans="1:8" x14ac:dyDescent="0.45">
      <c r="A34" s="2">
        <v>45775</v>
      </c>
      <c r="B34">
        <v>108.7043991088867</v>
      </c>
      <c r="C34">
        <v>114.65000152587891</v>
      </c>
      <c r="D34">
        <f t="shared" si="0"/>
        <v>0.94814127921620517</v>
      </c>
      <c r="E34">
        <f t="shared" si="1"/>
        <v>0</v>
      </c>
      <c r="F34">
        <f t="shared" si="2"/>
        <v>1</v>
      </c>
      <c r="G34" s="3">
        <f>E34*((B34-B33)/B33)+F34*((C34-C33)/C33)</f>
        <v>1.6580978602788215E-2</v>
      </c>
      <c r="H34">
        <f>E34*(((B34-B33)/B33) - ((C34-C33)/C33))+F34*(((C34-C33)/C33)-((B34-B33)/B33))</f>
        <v>3.7119615214525711E-2</v>
      </c>
    </row>
    <row r="35" spans="1:8" x14ac:dyDescent="0.45">
      <c r="A35" s="2">
        <v>45776</v>
      </c>
      <c r="B35">
        <v>108.9943161010742</v>
      </c>
      <c r="C35">
        <v>116.0800018310547</v>
      </c>
      <c r="D35">
        <f t="shared" si="0"/>
        <v>0.93895860080797422</v>
      </c>
      <c r="E35">
        <f t="shared" si="1"/>
        <v>0</v>
      </c>
      <c r="F35">
        <f t="shared" si="2"/>
        <v>1</v>
      </c>
      <c r="G35" s="3">
        <f>E35*((B35-B34)/B34)+F35*((C35-C34)/C34)</f>
        <v>1.2472745627072795E-2</v>
      </c>
      <c r="H35">
        <f>E35*(((B35-B34)/B34) - ((C35-C34)/C34))+F35*(((C35-C34)/C34)-((B35-B34)/B34))</f>
        <v>9.8057239189899715E-3</v>
      </c>
    </row>
    <row r="36" spans="1:8" x14ac:dyDescent="0.45">
      <c r="A36" s="2">
        <v>45777</v>
      </c>
      <c r="B36">
        <v>108.8943328857422</v>
      </c>
      <c r="C36">
        <v>118.44000244140619</v>
      </c>
      <c r="D36">
        <f t="shared" si="0"/>
        <v>0.91940502061044482</v>
      </c>
      <c r="E36">
        <f t="shared" si="1"/>
        <v>0</v>
      </c>
      <c r="F36">
        <f t="shared" si="2"/>
        <v>1</v>
      </c>
      <c r="G36" s="3">
        <f>E36*((B36-B35)/B35)+F36*((C36-C35)/C35)</f>
        <v>2.0330811277779668E-2</v>
      </c>
      <c r="H36">
        <f>E36*(((B36-B35)/B35) - ((C36-C35)/C35))+F36*(((C36-C35)/C35)-((B36-B35)/B35))</f>
        <v>2.1248136317365079E-2</v>
      </c>
    </row>
    <row r="37" spans="1:8" x14ac:dyDescent="0.45">
      <c r="A37" s="2">
        <v>45778</v>
      </c>
      <c r="B37">
        <v>111.5837020874023</v>
      </c>
      <c r="C37">
        <v>116.1999969482422</v>
      </c>
      <c r="D37">
        <f t="shared" si="0"/>
        <v>0.96027284869124319</v>
      </c>
      <c r="E37">
        <f t="shared" si="1"/>
        <v>0</v>
      </c>
      <c r="F37">
        <f t="shared" si="2"/>
        <v>1</v>
      </c>
      <c r="G37" s="3">
        <f>E37*((B37-B36)/B36)+F37*((C37-C36)/C36)</f>
        <v>-1.8912575540279572E-2</v>
      </c>
      <c r="H37">
        <f>E37*(((B37-B36)/B36) - ((C37-C36)/C36))+F37*(((C37-C36)/C36)-((B37-B36)/B36))</f>
        <v>-4.3609629375780182E-2</v>
      </c>
    </row>
    <row r="38" spans="1:8" x14ac:dyDescent="0.45">
      <c r="A38" s="2">
        <v>45779</v>
      </c>
      <c r="B38">
        <v>114.473030090332</v>
      </c>
      <c r="C38">
        <v>124.2799987792969</v>
      </c>
      <c r="D38">
        <f t="shared" si="0"/>
        <v>0.92108972654255783</v>
      </c>
      <c r="E38">
        <f t="shared" si="1"/>
        <v>0</v>
      </c>
      <c r="F38">
        <f t="shared" si="2"/>
        <v>1</v>
      </c>
      <c r="G38" s="3">
        <f>E38*((B38-B37)/B37)+F38*((C38-C37)/C37)</f>
        <v>6.9535301577104996E-2</v>
      </c>
      <c r="H38">
        <f>E38*(((B38-B37)/B37) - ((C38-C37)/C37))+F38*(((C38-C37)/C37)-((B38-B37)/B37))</f>
        <v>4.3641484210599962E-2</v>
      </c>
    </row>
    <row r="39" spans="1:8" x14ac:dyDescent="0.45">
      <c r="A39" s="2">
        <v>45782</v>
      </c>
      <c r="B39">
        <v>113.79319000244141</v>
      </c>
      <c r="C39">
        <v>123.76999664306641</v>
      </c>
      <c r="D39">
        <f t="shared" si="0"/>
        <v>0.91939236558762649</v>
      </c>
      <c r="E39">
        <f t="shared" si="1"/>
        <v>0</v>
      </c>
      <c r="F39">
        <f t="shared" si="2"/>
        <v>1</v>
      </c>
      <c r="G39" s="3">
        <f>E39*((B39-B38)/B38)+F39*((C39-C38)/C38)</f>
        <v>-4.1036541779839114E-3</v>
      </c>
      <c r="H39">
        <f>E39*(((B39-B38)/B38) - ((C39-C38)/C38))+F39*(((C39-C38)/C38)-((B39-B38)/B38))</f>
        <v>1.8352127093006028E-3</v>
      </c>
    </row>
    <row r="40" spans="1:8" x14ac:dyDescent="0.45">
      <c r="A40" s="2">
        <v>45783</v>
      </c>
      <c r="B40">
        <v>113.5132598876953</v>
      </c>
      <c r="C40">
        <v>108.86000061035161</v>
      </c>
      <c r="D40">
        <f t="shared" si="0"/>
        <v>1.0427453541360829</v>
      </c>
      <c r="E40">
        <f t="shared" si="1"/>
        <v>1</v>
      </c>
      <c r="F40">
        <f t="shared" si="2"/>
        <v>0</v>
      </c>
      <c r="G40" s="3">
        <f>E40*((B40-B39)/B39)+F40*((C40-C39)/C39)</f>
        <v>-2.4599900463296805E-3</v>
      </c>
      <c r="H40">
        <f>E40*(((B40-B39)/B39) - ((C40-C39)/C39))+F40*(((C40-C39)/C39)-((B40-B39)/B39))</f>
        <v>0.11800536049991725</v>
      </c>
    </row>
    <row r="41" spans="1:8" x14ac:dyDescent="0.45">
      <c r="A41" s="2">
        <v>45784</v>
      </c>
      <c r="B41">
        <v>117.0324249267578</v>
      </c>
      <c r="C41">
        <v>110.48000335693359</v>
      </c>
      <c r="D41">
        <f t="shared" si="0"/>
        <v>1.0593086655569239</v>
      </c>
      <c r="E41">
        <f t="shared" si="1"/>
        <v>1</v>
      </c>
      <c r="F41">
        <f t="shared" si="2"/>
        <v>0</v>
      </c>
      <c r="G41" s="3">
        <f>E41*((B41-B40)/B40)+F41*((C41-C40)/C40)</f>
        <v>3.1002237470267324E-2</v>
      </c>
      <c r="H41">
        <f>E41*(((B41-B40)/B40) - ((C41-C40)/C40))+F41*(((C41-C40)/C40)-((B41-B40)/B40))</f>
        <v>1.6120713150048451E-2</v>
      </c>
    </row>
    <row r="42" spans="1:8" x14ac:dyDescent="0.45">
      <c r="A42" s="2">
        <v>45785</v>
      </c>
      <c r="B42">
        <v>117.3423538208008</v>
      </c>
      <c r="C42">
        <v>119.15000152587891</v>
      </c>
      <c r="D42">
        <f t="shared" si="0"/>
        <v>0.98482880669803852</v>
      </c>
      <c r="E42">
        <f t="shared" si="1"/>
        <v>0</v>
      </c>
      <c r="F42">
        <f t="shared" si="2"/>
        <v>1</v>
      </c>
      <c r="G42" s="3">
        <f>E42*((B42-B41)/B41)+F42*((C42-C41)/C41)</f>
        <v>7.8475723257671257E-2</v>
      </c>
      <c r="H42">
        <f>E42*(((B42-B41)/B41) - ((C42-C41)/C41))+F42*(((C42-C41)/C41)-((B42-B41)/B41))</f>
        <v>7.5827492271797386E-2</v>
      </c>
    </row>
    <row r="43" spans="1:8" x14ac:dyDescent="0.45">
      <c r="A43" s="2">
        <v>45786</v>
      </c>
      <c r="B43">
        <v>116.6225204467773</v>
      </c>
      <c r="C43">
        <v>117.3000030517578</v>
      </c>
      <c r="D43">
        <f t="shared" si="0"/>
        <v>0.99422435986909941</v>
      </c>
      <c r="E43">
        <f t="shared" si="1"/>
        <v>1</v>
      </c>
      <c r="F43">
        <f t="shared" si="2"/>
        <v>0</v>
      </c>
      <c r="G43" s="3">
        <f>E43*((B43-B42)/B42)+F43*((C43-C42)/C42)</f>
        <v>-6.1344719155948316E-3</v>
      </c>
      <c r="H43">
        <f>E43*(((B43-B42)/B42) - ((C43-C42)/C42))+F43*(((C43-C42)/C42)-((B43-B42)/B42))</f>
        <v>9.3921621627043247E-3</v>
      </c>
    </row>
    <row r="44" spans="1:8" x14ac:dyDescent="0.45">
      <c r="A44" s="2">
        <v>45789</v>
      </c>
      <c r="B44">
        <v>122.9710235595703</v>
      </c>
      <c r="C44">
        <v>118.4599990844727</v>
      </c>
      <c r="D44">
        <f t="shared" si="0"/>
        <v>1.0380805715850194</v>
      </c>
      <c r="E44">
        <f t="shared" si="1"/>
        <v>1</v>
      </c>
      <c r="F44">
        <f t="shared" si="2"/>
        <v>0</v>
      </c>
      <c r="G44" s="3">
        <f>E44*((B44-B43)/B43)+F44*((C44-C43)/C43)</f>
        <v>5.4436339469187224E-2</v>
      </c>
      <c r="H44">
        <f>E44*(((B44-B43)/B43) - ((C44-C43)/C43))+F44*(((C44-C43)/C43)-((B44-B43)/B43))</f>
        <v>4.4547200487638688E-2</v>
      </c>
    </row>
    <row r="45" spans="1:8" x14ac:dyDescent="0.45">
      <c r="A45" s="2">
        <v>45790</v>
      </c>
      <c r="B45">
        <v>129.8993835449219</v>
      </c>
      <c r="C45">
        <v>128.1000061035156</v>
      </c>
      <c r="D45">
        <f t="shared" si="0"/>
        <v>1.014046661636786</v>
      </c>
      <c r="E45">
        <f t="shared" si="1"/>
        <v>1</v>
      </c>
      <c r="F45">
        <f t="shared" si="2"/>
        <v>0</v>
      </c>
      <c r="G45" s="3">
        <f>E45*((B45-B44)/B44)+F45*((C45-C44)/C44)</f>
        <v>5.6341402915909951E-2</v>
      </c>
      <c r="H45">
        <f>E45*(((B45-B44)/B44) - ((C45-C44)/C44))+F45*(((C45-C44)/C44)-((B45-B44)/B44))</f>
        <v>-2.5036337195067933E-2</v>
      </c>
    </row>
    <row r="46" spans="1:8" x14ac:dyDescent="0.45">
      <c r="A46" s="2">
        <v>45791</v>
      </c>
      <c r="B46">
        <v>135.30810546875</v>
      </c>
      <c r="C46">
        <v>130.17999267578119</v>
      </c>
      <c r="D46">
        <f t="shared" si="0"/>
        <v>1.039392480269534</v>
      </c>
      <c r="E46">
        <f t="shared" si="1"/>
        <v>1</v>
      </c>
      <c r="F46">
        <f t="shared" si="2"/>
        <v>0</v>
      </c>
      <c r="G46" s="3">
        <f>E46*((B46-B45)/B45)+F46*((C46-C45)/C45)</f>
        <v>4.1637779766350073E-2</v>
      </c>
      <c r="H46">
        <f>E46*(((B46-B45)/B45) - ((C46-C45)/C45))+F46*(((C46-C45)/C45)-((B46-B45)/B45))</f>
        <v>2.5400570764308402E-2</v>
      </c>
    </row>
    <row r="47" spans="1:8" x14ac:dyDescent="0.45">
      <c r="A47" s="2">
        <v>45792</v>
      </c>
      <c r="B47">
        <v>134.7982482910156</v>
      </c>
      <c r="C47">
        <v>128.1199951171875</v>
      </c>
      <c r="D47">
        <f t="shared" si="0"/>
        <v>1.0521249877329428</v>
      </c>
      <c r="E47">
        <f t="shared" si="1"/>
        <v>1</v>
      </c>
      <c r="F47">
        <f t="shared" si="2"/>
        <v>0</v>
      </c>
      <c r="G47" s="3">
        <f>E47*((B47-B46)/B46)+F47*((C47-C46)/C46)</f>
        <v>-3.7681199952367757E-3</v>
      </c>
      <c r="H47">
        <f>E47*(((B47-B46)/B46) - ((C47-C46)/C46))+F47*(((C47-C46)/C46)-((B47-B46)/B46))</f>
        <v>1.2056105496342447E-2</v>
      </c>
    </row>
    <row r="48" spans="1:8" x14ac:dyDescent="0.45">
      <c r="A48" s="2">
        <v>45793</v>
      </c>
      <c r="B48">
        <v>135.36810302734381</v>
      </c>
      <c r="C48">
        <v>129.52000427246091</v>
      </c>
      <c r="D48">
        <f t="shared" si="0"/>
        <v>1.0451520889590207</v>
      </c>
      <c r="E48">
        <f t="shared" si="1"/>
        <v>1</v>
      </c>
      <c r="F48">
        <f t="shared" si="2"/>
        <v>0</v>
      </c>
      <c r="G48" s="3">
        <f>E48*((B48-B47)/B47)+F48*((C48-C47)/C47)</f>
        <v>4.227463958566823E-3</v>
      </c>
      <c r="H48">
        <f>E48*(((B48-B47)/B47) - ((C48-C47)/C47))+F48*(((C48-C47)/C47)-((B48-B47)/B47))</f>
        <v>-6.6998636142516334E-3</v>
      </c>
    </row>
    <row r="49" spans="1:8" x14ac:dyDescent="0.45">
      <c r="A49" s="2">
        <v>45796</v>
      </c>
      <c r="B49">
        <v>135.5380554199219</v>
      </c>
      <c r="C49">
        <v>126.3300018310547</v>
      </c>
      <c r="D49">
        <f t="shared" si="0"/>
        <v>1.0728888898551703</v>
      </c>
      <c r="E49">
        <f t="shared" si="1"/>
        <v>1</v>
      </c>
      <c r="F49">
        <f t="shared" si="2"/>
        <v>0</v>
      </c>
      <c r="G49" s="3">
        <f>E49*((B49-B48)/B48)+F49*((C49-C48)/C48)</f>
        <v>1.2554832990735408E-3</v>
      </c>
      <c r="H49">
        <f>E49*(((B49-B48)/B48) - ((C49-C48)/C48))+F49*(((C49-C48)/C48)-((B49-B48)/B48))</f>
        <v>2.5884902201003576E-2</v>
      </c>
    </row>
    <row r="50" spans="1:8" x14ac:dyDescent="0.45">
      <c r="A50" s="2">
        <v>45797</v>
      </c>
      <c r="B50">
        <v>134.34834289550781</v>
      </c>
      <c r="C50">
        <v>125.5899963378906</v>
      </c>
      <c r="D50">
        <f t="shared" si="0"/>
        <v>1.0697376129708096</v>
      </c>
      <c r="E50">
        <f t="shared" si="1"/>
        <v>1</v>
      </c>
      <c r="F50">
        <f t="shared" si="2"/>
        <v>0</v>
      </c>
      <c r="G50" s="3">
        <f>E50*((B50-B49)/B49)+F50*((C50-C49)/C49)</f>
        <v>-8.7777009986467792E-3</v>
      </c>
      <c r="H50">
        <f>E50*(((B50-B49)/B49) - ((C50-C49)/C49))+F50*(((C50-C49)/C49)-((B50-B49)/B49))</f>
        <v>-2.9199832559229331E-3</v>
      </c>
    </row>
    <row r="51" spans="1:8" x14ac:dyDescent="0.45">
      <c r="A51" s="2">
        <v>45798</v>
      </c>
      <c r="B51">
        <v>131.7689514160156</v>
      </c>
      <c r="C51">
        <v>120.5800018310547</v>
      </c>
      <c r="D51">
        <f t="shared" si="0"/>
        <v>1.0927927468489991</v>
      </c>
      <c r="E51">
        <f t="shared" si="1"/>
        <v>1</v>
      </c>
      <c r="F51">
        <f t="shared" si="2"/>
        <v>0</v>
      </c>
      <c r="G51" s="3">
        <f>E51*((B51-B50)/B50)+F51*((C51-C50)/C50)</f>
        <v>-1.9199280198776928E-2</v>
      </c>
      <c r="H51">
        <f>E51*(((B51-B50)/B50) - ((C51-C50)/C50))+F51*(((C51-C50)/C50)-((B51-B50)/B50))</f>
        <v>2.0692388349065647E-2</v>
      </c>
    </row>
    <row r="52" spans="1:8" x14ac:dyDescent="0.45">
      <c r="A52" s="2">
        <v>45799</v>
      </c>
      <c r="B52">
        <v>132.7987060546875</v>
      </c>
      <c r="C52">
        <v>122.2900009155273</v>
      </c>
      <c r="D52">
        <f t="shared" si="0"/>
        <v>1.08593266056494</v>
      </c>
      <c r="E52">
        <f t="shared" si="1"/>
        <v>1</v>
      </c>
      <c r="F52">
        <f t="shared" si="2"/>
        <v>0</v>
      </c>
      <c r="G52" s="3">
        <f>E52*((B52-B51)/B51)+F52*((C52-C51)/C51)</f>
        <v>7.8148503695745723E-3</v>
      </c>
      <c r="H52">
        <f>E52*(((B52-B51)/B51) - ((C52-C51)/C51))+F52*(((C52-C51)/C51)-((B52-B51)/B51))</f>
        <v>-6.3665981169538036E-3</v>
      </c>
    </row>
    <row r="53" spans="1:8" x14ac:dyDescent="0.45">
      <c r="A53" s="2">
        <v>45800</v>
      </c>
      <c r="B53">
        <v>131.2590637207031</v>
      </c>
      <c r="C53">
        <v>123.30999755859381</v>
      </c>
      <c r="D53">
        <f t="shared" si="0"/>
        <v>1.0644640849849347</v>
      </c>
      <c r="E53">
        <f t="shared" si="1"/>
        <v>1</v>
      </c>
      <c r="F53">
        <f t="shared" si="2"/>
        <v>0</v>
      </c>
      <c r="G53" s="3">
        <f>E53*((B53-B52)/B52)+F53*((C53-C52)/C52)</f>
        <v>-1.1593805238963452E-2</v>
      </c>
      <c r="H53">
        <f>E53*(((B53-B52)/B52) - ((C53-C52)/C52))+F53*(((C53-C52)/C52)-((B53-B52)/B52))</f>
        <v>-1.9934606902470477E-2</v>
      </c>
    </row>
    <row r="54" spans="1:8" x14ac:dyDescent="0.45">
      <c r="A54" s="2">
        <v>45804</v>
      </c>
      <c r="B54">
        <v>135.46806335449219</v>
      </c>
      <c r="C54">
        <v>123.38999938964839</v>
      </c>
      <c r="D54">
        <f t="shared" si="0"/>
        <v>1.0978852745326868</v>
      </c>
      <c r="E54">
        <f t="shared" si="1"/>
        <v>1</v>
      </c>
      <c r="F54">
        <f t="shared" si="2"/>
        <v>0</v>
      </c>
      <c r="G54" s="3">
        <f>E54*((B54-B53)/B53)+F54*((C54-C53)/C53)</f>
        <v>3.2066354234745451E-2</v>
      </c>
      <c r="H54">
        <f>E54*(((B54-B53)/B53) - ((C54-C53)/C53))+F54*(((C54-C53)/C53)-((B54-B53)/B53))</f>
        <v>3.1417567983520578E-2</v>
      </c>
    </row>
    <row r="55" spans="1:8" x14ac:dyDescent="0.45">
      <c r="A55" s="2">
        <v>45805</v>
      </c>
      <c r="B55">
        <v>134.77824401855469</v>
      </c>
      <c r="C55">
        <v>123.7600021362305</v>
      </c>
      <c r="D55">
        <f t="shared" si="0"/>
        <v>1.0890291022312339</v>
      </c>
      <c r="E55">
        <f t="shared" si="1"/>
        <v>1</v>
      </c>
      <c r="F55">
        <f t="shared" si="2"/>
        <v>0</v>
      </c>
      <c r="G55" s="3">
        <f>E55*((B55-B54)/B54)+F55*((C55-C54)/C54)</f>
        <v>-5.0921177940839385E-3</v>
      </c>
      <c r="H55">
        <f>E55*(((B55-B54)/B54) - ((C55-C54)/C54))+F55*(((C55-C54)/C54)-((B55-B54)/B54))</f>
        <v>-8.090762322913907E-3</v>
      </c>
    </row>
    <row r="56" spans="1:8" x14ac:dyDescent="0.45">
      <c r="A56" s="2">
        <v>45806</v>
      </c>
      <c r="B56">
        <v>139.15721130371091</v>
      </c>
      <c r="C56">
        <v>122.3199996948242</v>
      </c>
      <c r="D56">
        <f t="shared" si="0"/>
        <v>1.1376488853081574</v>
      </c>
      <c r="E56">
        <f t="shared" si="1"/>
        <v>1</v>
      </c>
      <c r="F56">
        <f t="shared" si="2"/>
        <v>0</v>
      </c>
      <c r="G56" s="3">
        <f>E56*((B56-B55)/B55)+F56*((C56-C55)/C55)</f>
        <v>3.2490164247527792E-2</v>
      </c>
      <c r="H56">
        <f>E56*(((B56-B55)/B55) - ((C56-C55)/C55))+F56*(((C56-C55)/C55)-((B56-B55)/B55))</f>
        <v>4.4125607173758435E-2</v>
      </c>
    </row>
    <row r="57" spans="1:8" x14ac:dyDescent="0.45">
      <c r="A57" s="2">
        <v>45807</v>
      </c>
      <c r="B57">
        <v>135.0981750488281</v>
      </c>
      <c r="C57">
        <v>131.7799987792969</v>
      </c>
      <c r="D57">
        <f t="shared" si="0"/>
        <v>1.0251796653533776</v>
      </c>
      <c r="E57">
        <f t="shared" si="1"/>
        <v>0</v>
      </c>
      <c r="F57">
        <f t="shared" si="2"/>
        <v>1</v>
      </c>
      <c r="G57" s="3">
        <f>E57*((B57-B56)/B56)+F57*((C57-C56)/C56)</f>
        <v>7.7338122204663351E-2</v>
      </c>
      <c r="H57">
        <f>E57*(((B57-B56)/B56) - ((C57-C56)/C56))+F57*(((C57-C56)/C56)-((B57-B56)/B56))</f>
        <v>0.10650683158634217</v>
      </c>
    </row>
    <row r="58" spans="1:8" x14ac:dyDescent="0.45">
      <c r="A58" s="2">
        <v>45810</v>
      </c>
      <c r="B58">
        <v>137.34764099121091</v>
      </c>
      <c r="C58">
        <v>132.03999328613281</v>
      </c>
      <c r="D58">
        <f t="shared" si="0"/>
        <v>1.0401972733638083</v>
      </c>
      <c r="E58">
        <f t="shared" si="1"/>
        <v>0</v>
      </c>
      <c r="F58">
        <f t="shared" si="2"/>
        <v>1</v>
      </c>
      <c r="G58" s="3">
        <f>E58*((B58-B57)/B57)+F58*((C58-C57)/C57)</f>
        <v>1.9729436124168117E-3</v>
      </c>
      <c r="H58">
        <f>E58*(((B58-B57)/B57) - ((C58-C57)/C57))+F58*(((C58-C57)/C57)-((B58-B57)/B57))</f>
        <v>-1.467765837809709E-2</v>
      </c>
    </row>
    <row r="59" spans="1:8" x14ac:dyDescent="0.45">
      <c r="A59" s="2">
        <v>45811</v>
      </c>
      <c r="B59">
        <v>141.18672180175781</v>
      </c>
      <c r="C59">
        <v>133.16999816894531</v>
      </c>
      <c r="D59">
        <f t="shared" si="0"/>
        <v>1.0601991720585753</v>
      </c>
      <c r="E59">
        <f t="shared" si="1"/>
        <v>0</v>
      </c>
      <c r="F59">
        <f t="shared" si="2"/>
        <v>1</v>
      </c>
      <c r="G59" s="3">
        <f>E59*((B59-B58)/B58)+F59*((C59-C58)/C58)</f>
        <v>8.5580501383680091E-3</v>
      </c>
      <c r="H59">
        <f>E59*(((B59-B58)/B58) - ((C59-C58)/C58))+F59*(((C59-C58)/C58)-((B59-B58)/B58))</f>
        <v>-1.9393509734382714E-2</v>
      </c>
    </row>
    <row r="60" spans="1:8" x14ac:dyDescent="0.45">
      <c r="A60" s="2">
        <v>45812</v>
      </c>
      <c r="B60">
        <v>141.8865661621094</v>
      </c>
      <c r="C60">
        <v>130.00999450683591</v>
      </c>
      <c r="D60">
        <f t="shared" si="0"/>
        <v>1.0913512203452098</v>
      </c>
      <c r="E60">
        <f t="shared" si="1"/>
        <v>1</v>
      </c>
      <c r="F60">
        <f t="shared" si="2"/>
        <v>0</v>
      </c>
      <c r="G60" s="3">
        <f>E60*((B60-B59)/B59)+F60*((C60-C59)/C59)</f>
        <v>4.956870953730705E-3</v>
      </c>
      <c r="H60">
        <f>E60*(((B60-B59)/B59) - ((C60-C59)/C59))+F60*(((C60-C59)/C59)-((B60-B59)/B59))</f>
        <v>2.868596688794018E-2</v>
      </c>
    </row>
    <row r="61" spans="1:8" x14ac:dyDescent="0.45">
      <c r="A61" s="2">
        <v>45813</v>
      </c>
      <c r="B61">
        <v>139.95701599121091</v>
      </c>
      <c r="C61">
        <v>119.9100036621094</v>
      </c>
      <c r="D61">
        <f t="shared" si="0"/>
        <v>1.1671838188379291</v>
      </c>
      <c r="E61">
        <f t="shared" si="1"/>
        <v>1</v>
      </c>
      <c r="F61">
        <f t="shared" si="2"/>
        <v>0</v>
      </c>
      <c r="G61" s="3">
        <f>E61*((B61-B60)/B60)+F61*((C61-C60)/C60)</f>
        <v>-1.3599244967941002E-2</v>
      </c>
      <c r="H61">
        <f>E61*(((B61-B60)/B60) - ((C61-C60)/C60))+F61*(((C61-C60)/C60)-((B61-B60)/B60))</f>
        <v>6.4087019715313401E-2</v>
      </c>
    </row>
    <row r="62" spans="1:8" x14ac:dyDescent="0.45">
      <c r="A62" s="2">
        <v>45814</v>
      </c>
      <c r="B62">
        <v>141.68659973144531</v>
      </c>
      <c r="C62">
        <v>127.7200012207031</v>
      </c>
      <c r="D62">
        <f t="shared" si="0"/>
        <v>1.1093532600787219</v>
      </c>
      <c r="E62">
        <f t="shared" si="1"/>
        <v>1</v>
      </c>
      <c r="F62">
        <f t="shared" si="2"/>
        <v>0</v>
      </c>
      <c r="G62" s="3">
        <f>E62*((B62-B61)/B61)+F62*((C62-C61)/C61)</f>
        <v>1.2357963821856695E-2</v>
      </c>
      <c r="H62">
        <f>E62*(((B62-B61)/B61) - ((C62-C61)/C61))+F62*(((C62-C61)/C61)-((B62-B61)/B61))</f>
        <v>-5.277419629883881E-2</v>
      </c>
    </row>
    <row r="63" spans="1:8" x14ac:dyDescent="0.45">
      <c r="A63" s="2">
        <v>45817</v>
      </c>
      <c r="B63">
        <v>142.5964050292969</v>
      </c>
      <c r="C63">
        <v>132.05999755859381</v>
      </c>
      <c r="D63">
        <f t="shared" si="0"/>
        <v>1.079785004282074</v>
      </c>
      <c r="E63">
        <f t="shared" si="1"/>
        <v>0</v>
      </c>
      <c r="F63">
        <f t="shared" si="2"/>
        <v>1</v>
      </c>
      <c r="G63" s="3">
        <f>E63*((B63-B62)/B62)+F63*((C63-C62)/C62)</f>
        <v>3.3980553526546692E-2</v>
      </c>
      <c r="H63">
        <f>E63*(((B63-B62)/B62) - ((C63-C62)/C62))+F63*(((C63-C62)/C62)-((B63-B62)/B62))</f>
        <v>2.7559301978580631E-2</v>
      </c>
    </row>
    <row r="64" spans="1:8" x14ac:dyDescent="0.45">
      <c r="A64" s="2">
        <v>45818</v>
      </c>
      <c r="B64">
        <v>143.92608642578119</v>
      </c>
      <c r="C64">
        <v>132.80999755859381</v>
      </c>
      <c r="D64">
        <f t="shared" si="0"/>
        <v>1.0836991873468196</v>
      </c>
      <c r="E64">
        <f t="shared" si="1"/>
        <v>0</v>
      </c>
      <c r="F64">
        <f t="shared" si="2"/>
        <v>1</v>
      </c>
      <c r="G64" s="3">
        <f>E64*((B64-B63)/B63)+F64*((C64-C63)/C63)</f>
        <v>5.679236815578706E-3</v>
      </c>
      <c r="H64">
        <f>E64*(((B64-B63)/B63) - ((C64-C63)/C63))+F64*(((C64-C63)/C63)-((B64-B63)/B63))</f>
        <v>-3.6455522365092634E-3</v>
      </c>
    </row>
    <row r="65" spans="1:8" x14ac:dyDescent="0.45">
      <c r="A65" s="2">
        <v>45819</v>
      </c>
      <c r="B65">
        <v>142.80625915527341</v>
      </c>
      <c r="C65">
        <v>136.38999938964841</v>
      </c>
      <c r="D65">
        <f t="shared" si="0"/>
        <v>1.0470434767529735</v>
      </c>
      <c r="E65">
        <f t="shared" si="1"/>
        <v>0</v>
      </c>
      <c r="F65">
        <f t="shared" si="2"/>
        <v>1</v>
      </c>
      <c r="G65" s="3">
        <f>E65*((B65-B64)/B64)+F65*((C65-C64)/C64)</f>
        <v>2.6955815803514027E-2</v>
      </c>
      <c r="H65">
        <f>E65*(((B65-B64)/B64) - ((C65-C64)/C64))+F65*(((C65-C64)/C64)-((B65-B64)/B64))</f>
        <v>3.4736387750665863E-2</v>
      </c>
    </row>
    <row r="66" spans="1:8" x14ac:dyDescent="0.45">
      <c r="A66" s="2">
        <v>45820</v>
      </c>
      <c r="B66">
        <v>144.97590637207031</v>
      </c>
      <c r="C66">
        <v>135.19000244140619</v>
      </c>
      <c r="D66">
        <f t="shared" si="0"/>
        <v>1.0723862989417838</v>
      </c>
      <c r="E66">
        <f t="shared" si="1"/>
        <v>0</v>
      </c>
      <c r="F66">
        <f t="shared" si="2"/>
        <v>1</v>
      </c>
      <c r="G66" s="3">
        <f>E66*((B66-B65)/B65)+F66*((C66-C65)/C65)</f>
        <v>-8.7982766596690232E-3</v>
      </c>
      <c r="H66">
        <f>E66*(((B66-B65)/B65) - ((C66-C65)/C65))+F66*(((C66-C65)/C65)-((B66-B65)/B65))</f>
        <v>-2.3991218689176592E-2</v>
      </c>
    </row>
    <row r="67" spans="1:8" x14ac:dyDescent="0.45">
      <c r="A67" s="2">
        <v>45821</v>
      </c>
      <c r="B67">
        <v>141.94639587402341</v>
      </c>
      <c r="C67">
        <v>137.3999938964844</v>
      </c>
      <c r="D67">
        <f t="shared" ref="D67:D130" si="3">B67/C67</f>
        <v>1.0330888077110412</v>
      </c>
      <c r="E67">
        <f t="shared" si="1"/>
        <v>0</v>
      </c>
      <c r="F67">
        <f t="shared" si="2"/>
        <v>1</v>
      </c>
      <c r="G67" s="3">
        <f>E67*((B67-B66)/B66)+F67*((C67-C66)/C66)</f>
        <v>1.6347299468657536E-2</v>
      </c>
      <c r="H67">
        <f>E67*(((B67-B66)/B66) - ((C67-C66)/C66))+F67*(((C67-C66)/C66)-((B67-B66)/B66))</f>
        <v>3.7243947565975724E-2</v>
      </c>
    </row>
    <row r="68" spans="1:8" x14ac:dyDescent="0.45">
      <c r="A68" s="2">
        <v>45824</v>
      </c>
      <c r="B68">
        <v>144.66595458984381</v>
      </c>
      <c r="C68">
        <v>141.4100036621094</v>
      </c>
      <c r="D68">
        <f t="shared" si="3"/>
        <v>1.0230248981218775</v>
      </c>
      <c r="E68">
        <f t="shared" si="1"/>
        <v>0</v>
      </c>
      <c r="F68">
        <f t="shared" si="2"/>
        <v>1</v>
      </c>
      <c r="G68" s="3">
        <f>E68*((B68-B67)/B67)+F68*((C68-C67)/C67)</f>
        <v>2.9184934088469436E-2</v>
      </c>
      <c r="H68">
        <f>E68*(((B68-B67)/B67) - ((C68-C67)/C67))+F68*(((C68-C67)/C67)-((B68-B67)/B67))</f>
        <v>1.0025879720974327E-2</v>
      </c>
    </row>
    <row r="69" spans="1:8" x14ac:dyDescent="0.45">
      <c r="A69" s="2">
        <v>45825</v>
      </c>
      <c r="B69">
        <v>144.0960388183594</v>
      </c>
      <c r="C69">
        <v>138.19999694824219</v>
      </c>
      <c r="D69">
        <f t="shared" si="3"/>
        <v>1.0426631114349834</v>
      </c>
      <c r="E69">
        <f t="shared" si="1"/>
        <v>0</v>
      </c>
      <c r="F69">
        <f t="shared" si="2"/>
        <v>1</v>
      </c>
      <c r="G69" s="3">
        <f>E69*((B69-B68)/B68)+F69*((C69-C68)/C68)</f>
        <v>-2.2699997388709016E-2</v>
      </c>
      <c r="H69">
        <f>E69*(((B69-B68)/B68) - ((C69-C68)/C68))+F69*(((C69-C68)/C68)-((B69-B68)/B68))</f>
        <v>-1.8760468056460623E-2</v>
      </c>
    </row>
    <row r="70" spans="1:8" x14ac:dyDescent="0.45">
      <c r="A70" s="2">
        <v>45826</v>
      </c>
      <c r="B70">
        <v>145.455810546875</v>
      </c>
      <c r="C70">
        <v>139.96000671386719</v>
      </c>
      <c r="D70">
        <f t="shared" si="3"/>
        <v>1.0392669589123655</v>
      </c>
      <c r="E70">
        <f t="shared" si="1"/>
        <v>0</v>
      </c>
      <c r="F70">
        <f t="shared" si="2"/>
        <v>1</v>
      </c>
      <c r="G70" s="3">
        <f>E70*((B70-B69)/B69)+F70*((C70-C69)/C69)</f>
        <v>1.2735237369680609E-2</v>
      </c>
      <c r="H70">
        <f>E70*(((B70-B69)/B69) - ((C70-C69)/C69))+F70*(((C70-C69)/C69)-((B70-B69)/B69))</f>
        <v>3.2986717314699709E-3</v>
      </c>
    </row>
    <row r="71" spans="1:8" x14ac:dyDescent="0.45">
      <c r="A71" s="2">
        <v>45828</v>
      </c>
      <c r="B71">
        <v>143.82609558105469</v>
      </c>
      <c r="C71">
        <v>137.30000305175781</v>
      </c>
      <c r="D71">
        <f t="shared" si="3"/>
        <v>1.0475316269791832</v>
      </c>
      <c r="E71">
        <f t="shared" si="1"/>
        <v>0</v>
      </c>
      <c r="F71">
        <f t="shared" si="2"/>
        <v>1</v>
      </c>
      <c r="G71" s="3">
        <f>E71*((B71-B70)/B70)+F71*((C71-C70)/C70)</f>
        <v>-1.90054553766024E-2</v>
      </c>
      <c r="H71">
        <f>E71*(((B71-B70)/B70) - ((C71-C70)/C70))+F71*(((C71-C70)/C70)-((B71-B70)/B70))</f>
        <v>-7.8012624351652751E-3</v>
      </c>
    </row>
    <row r="72" spans="1:8" x14ac:dyDescent="0.45">
      <c r="A72" s="2">
        <v>45831</v>
      </c>
      <c r="B72">
        <v>144.14604187011719</v>
      </c>
      <c r="C72">
        <v>139.91999816894531</v>
      </c>
      <c r="D72">
        <f t="shared" si="3"/>
        <v>1.0302032858524568</v>
      </c>
      <c r="E72">
        <f t="shared" si="1"/>
        <v>0</v>
      </c>
      <c r="F72">
        <f t="shared" si="2"/>
        <v>1</v>
      </c>
      <c r="G72" s="3">
        <f>E72*((B72-B71)/B71)+F72*((C72-C71)/C71)</f>
        <v>1.9082265542265456E-2</v>
      </c>
      <c r="H72">
        <f>E72*(((B72-B71)/B71) - ((C72-C71)/C71))+F72*(((C72-C71)/C71)-((B72-B71)/B71))</f>
        <v>1.6857729808538394E-2</v>
      </c>
    </row>
    <row r="73" spans="1:8" x14ac:dyDescent="0.45">
      <c r="A73" s="2">
        <v>45832</v>
      </c>
      <c r="B73">
        <v>147.87541198730469</v>
      </c>
      <c r="C73">
        <v>143.22999572753909</v>
      </c>
      <c r="D73">
        <f t="shared" si="3"/>
        <v>1.0324332639693881</v>
      </c>
      <c r="E73">
        <f t="shared" si="1"/>
        <v>0</v>
      </c>
      <c r="F73">
        <f t="shared" si="2"/>
        <v>1</v>
      </c>
      <c r="G73" s="3">
        <f>E73*((B73-B72)/B72)+F73*((C73-C72)/C72)</f>
        <v>2.3656357932460431E-2</v>
      </c>
      <c r="H73">
        <f>E73*(((B73-B72)/B72) - ((C73-C72)/C72))+F73*(((C73-C72)/C72)-((B73-B72)/B72))</f>
        <v>-2.2158066362195014E-3</v>
      </c>
    </row>
    <row r="74" spans="1:8" x14ac:dyDescent="0.45">
      <c r="A74" s="2">
        <v>45833</v>
      </c>
      <c r="B74">
        <v>154.28436279296881</v>
      </c>
      <c r="C74">
        <v>142.8999938964844</v>
      </c>
      <c r="D74">
        <f t="shared" si="3"/>
        <v>1.0796666856734167</v>
      </c>
      <c r="E74">
        <f t="shared" si="1"/>
        <v>1</v>
      </c>
      <c r="F74">
        <f t="shared" si="2"/>
        <v>0</v>
      </c>
      <c r="G74" s="3">
        <f>E74*((B74-B73)/B73)+F74*((C74-C73)/C73)</f>
        <v>4.3340205917494497E-2</v>
      </c>
      <c r="H74">
        <f>E74*(((B74-B73)/B73) - ((C74-C73)/C73))+F74*(((C74-C73)/C73)-((B74-B73)/B73))</f>
        <v>4.5644205365224969E-2</v>
      </c>
    </row>
    <row r="75" spans="1:8" x14ac:dyDescent="0.45">
      <c r="A75" s="2">
        <v>45834</v>
      </c>
      <c r="B75">
        <v>154.9942321777344</v>
      </c>
      <c r="C75">
        <v>144.25</v>
      </c>
      <c r="D75">
        <f t="shared" si="3"/>
        <v>1.0744834119773616</v>
      </c>
      <c r="E75">
        <f t="shared" si="1"/>
        <v>1</v>
      </c>
      <c r="F75">
        <f t="shared" si="2"/>
        <v>0</v>
      </c>
      <c r="G75" s="3">
        <f>E75*((B75-B74)/B74)+F75*((C75-C74)/C74)</f>
        <v>4.601045575293697E-3</v>
      </c>
      <c r="H75">
        <f>E75*(((B75-B74)/B74) - ((C75-C74)/C74))+F75*(((C75-C74)/C74)-((B75-B74)/B74))</f>
        <v>-4.8461633902541256E-3</v>
      </c>
    </row>
    <row r="76" spans="1:8" x14ac:dyDescent="0.45">
      <c r="A76" s="2">
        <v>45835</v>
      </c>
      <c r="B76">
        <v>157.72377014160159</v>
      </c>
      <c r="C76">
        <v>130.74000549316409</v>
      </c>
      <c r="D76">
        <f t="shared" si="3"/>
        <v>1.2063925616849418</v>
      </c>
      <c r="E76">
        <f t="shared" si="1"/>
        <v>1</v>
      </c>
      <c r="F76">
        <f t="shared" si="2"/>
        <v>0</v>
      </c>
      <c r="G76" s="3">
        <f>E76*((B76-B75)/B75)+F76*((C76-C75)/C75)</f>
        <v>1.7610577668059169E-2</v>
      </c>
      <c r="H76">
        <f>E76*(((B76-B75)/B75) - ((C76-C75)/C75))+F76*(((C76-C75)/C75)-((B76-B75)/B75))</f>
        <v>0.1112673853410984</v>
      </c>
    </row>
    <row r="77" spans="1:8" x14ac:dyDescent="0.45">
      <c r="A77" s="2">
        <v>45838</v>
      </c>
      <c r="B77">
        <v>157.96376037597659</v>
      </c>
      <c r="C77">
        <v>136.32000732421881</v>
      </c>
      <c r="D77">
        <f t="shared" si="3"/>
        <v>1.1587716541144326</v>
      </c>
      <c r="E77">
        <f t="shared" si="1"/>
        <v>1</v>
      </c>
      <c r="F77">
        <f t="shared" si="2"/>
        <v>0</v>
      </c>
      <c r="G77" s="3">
        <f>E77*((B77-B76)/B76)+F77*((C77-C76)/C76)</f>
        <v>1.5215857074652795E-3</v>
      </c>
      <c r="H77">
        <f>E77*(((B77-B76)/B76) - ((C77-C76)/C76))+F77*(((C77-C76)/C76)-((B77-B76)/B76))</f>
        <v>-4.1158555003913792E-2</v>
      </c>
    </row>
    <row r="78" spans="1:8" x14ac:dyDescent="0.45">
      <c r="A78" s="2">
        <v>45839</v>
      </c>
      <c r="B78">
        <v>153.2745361328125</v>
      </c>
      <c r="C78">
        <v>130.67999267578119</v>
      </c>
      <c r="D78">
        <f t="shared" si="3"/>
        <v>1.1728997912717112</v>
      </c>
      <c r="E78">
        <f t="shared" si="1"/>
        <v>1</v>
      </c>
      <c r="F78">
        <f t="shared" si="2"/>
        <v>0</v>
      </c>
      <c r="G78" s="3">
        <f>E78*((B78-B77)/B77)+F78*((C78-C77)/C77)</f>
        <v>-2.9685443243456976E-2</v>
      </c>
      <c r="H78">
        <f>E78*(((B78-B77)/B77) - ((C78-C77)/C77))+F78*(((C78-C77)/C77)-((B78-B77)/B77))</f>
        <v>1.1687901426512104E-2</v>
      </c>
    </row>
    <row r="79" spans="1:8" x14ac:dyDescent="0.45">
      <c r="A79" s="2">
        <v>45840</v>
      </c>
      <c r="B79">
        <v>157.22386169433591</v>
      </c>
      <c r="C79">
        <v>132.1199951171875</v>
      </c>
      <c r="D79">
        <f t="shared" si="3"/>
        <v>1.1900080798132171</v>
      </c>
      <c r="E79">
        <f t="shared" si="1"/>
        <v>1</v>
      </c>
      <c r="F79">
        <f t="shared" si="2"/>
        <v>0</v>
      </c>
      <c r="G79" s="3">
        <f>E79*((B79-B78)/B78)+F79*((C79-C78)/C78)</f>
        <v>2.5766351418616041E-2</v>
      </c>
      <c r="H79">
        <f>E79*(((B79-B78)/B78) - ((C79-C78)/C78))+F79*(((C79-C78)/C78)-((B79-B78)/B78))</f>
        <v>1.4747048372135375E-2</v>
      </c>
    </row>
    <row r="80" spans="1:8" x14ac:dyDescent="0.45">
      <c r="A80" s="2">
        <v>45841</v>
      </c>
      <c r="B80">
        <v>159.31352233886719</v>
      </c>
      <c r="C80">
        <v>134.36000061035159</v>
      </c>
      <c r="D80">
        <f t="shared" si="3"/>
        <v>1.1857213576597221</v>
      </c>
      <c r="E80">
        <f t="shared" ref="E80:E143" si="4">IF(D80&gt;(AVERAGE(D67:D79)),1,0)</f>
        <v>1</v>
      </c>
      <c r="F80">
        <f t="shared" ref="F80:F143" si="5">IF(D80&lt;(AVERAGE(D67:D79)),1,0)</f>
        <v>0</v>
      </c>
      <c r="G80" s="3">
        <f>E80*((B80-B79)/B79)+F80*((C80-C79)/C79)</f>
        <v>1.3290989179453285E-2</v>
      </c>
      <c r="H80">
        <f>E80*(((B80-B79)/B79) - ((C80-C79)/C79))+F80*(((C80-C79)/C79)-((B80-B79)/B79))</f>
        <v>-3.6633370084734988E-3</v>
      </c>
    </row>
    <row r="81" spans="1:8" x14ac:dyDescent="0.45">
      <c r="A81" s="2">
        <v>45845</v>
      </c>
      <c r="B81">
        <v>158.2137145996094</v>
      </c>
      <c r="C81">
        <v>139.1199951171875</v>
      </c>
      <c r="D81">
        <f t="shared" si="3"/>
        <v>1.1372464070771304</v>
      </c>
      <c r="E81">
        <f t="shared" si="4"/>
        <v>1</v>
      </c>
      <c r="F81">
        <f t="shared" si="5"/>
        <v>0</v>
      </c>
      <c r="G81" s="3">
        <f>E81*((B81-B80)/B80)+F81*((C81-C80)/C80)</f>
        <v>-6.9034173817238342E-3</v>
      </c>
      <c r="H81">
        <f>E81*(((B81-B80)/B80) - ((C81-C80)/C80))+F81*(((C81-C80)/C80)-((B81-B80)/B80))</f>
        <v>-4.2330586816175159E-2</v>
      </c>
    </row>
    <row r="82" spans="1:8" x14ac:dyDescent="0.45">
      <c r="A82" s="2">
        <v>45846</v>
      </c>
      <c r="B82">
        <v>159.97340393066409</v>
      </c>
      <c r="C82">
        <v>139.71000671386719</v>
      </c>
      <c r="D82">
        <f t="shared" si="3"/>
        <v>1.1450389824853227</v>
      </c>
      <c r="E82">
        <f t="shared" si="4"/>
        <v>1</v>
      </c>
      <c r="F82">
        <f t="shared" si="5"/>
        <v>0</v>
      </c>
      <c r="G82" s="3">
        <f>E82*((B82-B81)/B81)+F82*((C82-C81)/C81)</f>
        <v>1.1122230051344941E-2</v>
      </c>
      <c r="H82">
        <f>E82*(((B82-B81)/B81) - ((C82-C81)/C81))+F82*(((C82-C81)/C81)-((B82-B81)/B81))</f>
        <v>6.8812034743766758E-3</v>
      </c>
    </row>
    <row r="83" spans="1:8" x14ac:dyDescent="0.45">
      <c r="A83" s="2">
        <v>45847</v>
      </c>
      <c r="B83">
        <v>162.8529357910156</v>
      </c>
      <c r="C83">
        <v>143.1300048828125</v>
      </c>
      <c r="D83">
        <f t="shared" si="3"/>
        <v>1.137797318768704</v>
      </c>
      <c r="E83">
        <f t="shared" si="4"/>
        <v>1</v>
      </c>
      <c r="F83">
        <f t="shared" si="5"/>
        <v>0</v>
      </c>
      <c r="G83" s="3">
        <f>E83*((B83-B82)/B82)+F83*((C83-C82)/C82)</f>
        <v>1.8000066196000659E-2</v>
      </c>
      <c r="H83">
        <f>E83*(((B83-B82)/B82) - ((C83-C82)/C82))+F83*(((C83-C82)/C82)-((B83-B82)/B82))</f>
        <v>-6.4791980269954322E-3</v>
      </c>
    </row>
    <row r="84" spans="1:8" x14ac:dyDescent="0.45">
      <c r="A84" s="2">
        <v>45848</v>
      </c>
      <c r="B84">
        <v>164.07273864746091</v>
      </c>
      <c r="C84">
        <v>142.5</v>
      </c>
      <c r="D84">
        <f t="shared" si="3"/>
        <v>1.1513876396313045</v>
      </c>
      <c r="E84">
        <f t="shared" si="4"/>
        <v>1</v>
      </c>
      <c r="F84">
        <f t="shared" si="5"/>
        <v>0</v>
      </c>
      <c r="G84" s="3">
        <f>E84*((B84-B83)/B83)+F84*((C84-C83)/C83)</f>
        <v>7.4902110331658365E-3</v>
      </c>
      <c r="H84">
        <f>E84*(((B84-B83)/B83) - ((C84-C83)/C83))+F84*(((C84-C83)/C83)-((B84-B83)/B83))</f>
        <v>1.1891837954986426E-2</v>
      </c>
    </row>
    <row r="85" spans="1:8" x14ac:dyDescent="0.45">
      <c r="A85" s="2">
        <v>45849</v>
      </c>
      <c r="B85">
        <v>164.89259338378909</v>
      </c>
      <c r="C85">
        <v>142.1000061035156</v>
      </c>
      <c r="D85">
        <f t="shared" si="3"/>
        <v>1.1603982146465903</v>
      </c>
      <c r="E85">
        <f t="shared" si="4"/>
        <v>1</v>
      </c>
      <c r="F85">
        <f t="shared" si="5"/>
        <v>0</v>
      </c>
      <c r="G85" s="3">
        <f>E85*((B85-B84)/B84)+F85*((C85-C84)/C84)</f>
        <v>4.9968979800464218E-3</v>
      </c>
      <c r="H85">
        <f>E85*(((B85-B84)/B84) - ((C85-C84)/C84))+F85*(((C85-C84)/C84)-((B85-B84)/B84))</f>
        <v>7.8038726922176737E-3</v>
      </c>
    </row>
    <row r="86" spans="1:8" x14ac:dyDescent="0.45">
      <c r="A86" s="2">
        <v>45852</v>
      </c>
      <c r="B86">
        <v>164.04273986816409</v>
      </c>
      <c r="C86">
        <v>149.1499938964844</v>
      </c>
      <c r="D86">
        <f t="shared" si="3"/>
        <v>1.0998507983983949</v>
      </c>
      <c r="E86">
        <f t="shared" si="4"/>
        <v>0</v>
      </c>
      <c r="F86">
        <f t="shared" si="5"/>
        <v>1</v>
      </c>
      <c r="G86" s="3">
        <f>E86*((B86-B85)/B85)+F86*((C86-C85)/C85)</f>
        <v>4.9612860592230391E-2</v>
      </c>
      <c r="H86">
        <f>E86*(((B86-B85)/B85) - ((C86-C85)/C85))+F86*(((C86-C85)/C85)-((B86-B85)/B85))</f>
        <v>5.4766842940285027E-2</v>
      </c>
    </row>
    <row r="87" spans="1:8" x14ac:dyDescent="0.45">
      <c r="A87" s="2">
        <v>45853</v>
      </c>
      <c r="B87">
        <v>170.671630859375</v>
      </c>
      <c r="C87">
        <v>148.58000183105469</v>
      </c>
      <c r="D87">
        <f t="shared" si="3"/>
        <v>1.1486850771037138</v>
      </c>
      <c r="E87">
        <f t="shared" si="4"/>
        <v>1</v>
      </c>
      <c r="F87">
        <f t="shared" si="5"/>
        <v>0</v>
      </c>
      <c r="G87" s="3">
        <f>E87*((B87-B86)/B86)+F87*((C87-C86)/C86)</f>
        <v>4.0409535932759581E-2</v>
      </c>
      <c r="H87">
        <f>E87*(((B87-B86)/B86) - ((C87-C86)/C86))+F87*(((C87-C86)/C86)-((B87-B86)/B86))</f>
        <v>4.4231138941508687E-2</v>
      </c>
    </row>
    <row r="88" spans="1:8" x14ac:dyDescent="0.45">
      <c r="A88" s="2">
        <v>45854</v>
      </c>
      <c r="B88">
        <v>171.3415222167969</v>
      </c>
      <c r="C88">
        <v>150.9100036621094</v>
      </c>
      <c r="D88">
        <f t="shared" si="3"/>
        <v>1.1353887619036449</v>
      </c>
      <c r="E88">
        <f t="shared" si="4"/>
        <v>0</v>
      </c>
      <c r="F88">
        <f t="shared" si="5"/>
        <v>1</v>
      </c>
      <c r="G88" s="3">
        <f>E88*((B88-B87)/B87)+F88*((C88-C87)/C87)</f>
        <v>1.5681799719615582E-2</v>
      </c>
      <c r="H88">
        <f>E88*(((B88-B87)/B87) - ((C88-C87)/C87))+F88*(((C88-C87)/C87)-((B88-B87)/B87))</f>
        <v>1.1756769214845513E-2</v>
      </c>
    </row>
    <row r="89" spans="1:8" x14ac:dyDescent="0.45">
      <c r="A89" s="2">
        <v>45855</v>
      </c>
      <c r="B89">
        <v>172.97125244140619</v>
      </c>
      <c r="C89">
        <v>153.99000549316409</v>
      </c>
      <c r="D89">
        <f t="shared" si="3"/>
        <v>1.123262849997656</v>
      </c>
      <c r="E89">
        <f t="shared" si="4"/>
        <v>0</v>
      </c>
      <c r="F89">
        <f t="shared" si="5"/>
        <v>1</v>
      </c>
      <c r="G89" s="3">
        <f>E89*((B89-B88)/B88)+F89*((C89-C88)/C88)</f>
        <v>2.0409527243474692E-2</v>
      </c>
      <c r="H89">
        <f>E89*(((B89-B88)/B88) - ((C89-C88)/C88))+F89*(((C89-C88)/C88)-((B89-B88)/B88))</f>
        <v>1.0897937737766867E-2</v>
      </c>
    </row>
    <row r="90" spans="1:8" x14ac:dyDescent="0.45">
      <c r="A90" s="2">
        <v>45856</v>
      </c>
      <c r="B90">
        <v>172.38134765625</v>
      </c>
      <c r="C90">
        <v>153.52000427246091</v>
      </c>
      <c r="D90">
        <f t="shared" si="3"/>
        <v>1.1228591900656462</v>
      </c>
      <c r="E90">
        <f t="shared" si="4"/>
        <v>0</v>
      </c>
      <c r="F90">
        <f t="shared" si="5"/>
        <v>1</v>
      </c>
      <c r="G90" s="3">
        <f>E90*((B90-B89)/B89)+F90*((C90-C89)/C89)</f>
        <v>-3.0521540615442481E-3</v>
      </c>
      <c r="H90">
        <f>E90*(((B90-B89)/B89) - ((C90-C89)/C89))+F90*(((C90-C89)/C89)-((B90-B89)/B89))</f>
        <v>3.5826690049406938E-4</v>
      </c>
    </row>
    <row r="91" spans="1:8" x14ac:dyDescent="0.45">
      <c r="A91" s="2">
        <v>45859</v>
      </c>
      <c r="B91">
        <v>171.3515319824219</v>
      </c>
      <c r="C91">
        <v>151.78999328613281</v>
      </c>
      <c r="D91">
        <f t="shared" si="3"/>
        <v>1.1288723865967534</v>
      </c>
      <c r="E91">
        <f t="shared" si="4"/>
        <v>0</v>
      </c>
      <c r="F91">
        <f t="shared" si="5"/>
        <v>1</v>
      </c>
      <c r="G91" s="3">
        <f>E91*((B91-B90)/B90)+F91*((C91-C90)/C90)</f>
        <v>-1.1268961296130146E-2</v>
      </c>
      <c r="H91">
        <f>E91*(((B91-B90)/B90) - ((C91-C90)/C90))+F91*(((C91-C90)/C90)-((B91-B90)/B90))</f>
        <v>-5.2949061687640568E-3</v>
      </c>
    </row>
    <row r="92" spans="1:8" x14ac:dyDescent="0.45">
      <c r="A92" s="2">
        <v>45860</v>
      </c>
      <c r="B92">
        <v>167.00225830078119</v>
      </c>
      <c r="C92">
        <v>149.07000732421881</v>
      </c>
      <c r="D92">
        <f t="shared" si="3"/>
        <v>1.120294157748049</v>
      </c>
      <c r="E92">
        <f t="shared" si="4"/>
        <v>0</v>
      </c>
      <c r="F92">
        <f t="shared" si="5"/>
        <v>1</v>
      </c>
      <c r="G92" s="3">
        <f>E92*((B92-B91)/B91)+F92*((C92-C91)/C91)</f>
        <v>-1.7919402346811338E-2</v>
      </c>
      <c r="H92">
        <f>E92*(((B92-B91)/B91) - ((C92-C91)/C91))+F92*(((C92-C91)/C91)-((B92-B91)/B91))</f>
        <v>7.4627674611999519E-3</v>
      </c>
    </row>
    <row r="93" spans="1:8" x14ac:dyDescent="0.45">
      <c r="A93" s="2">
        <v>45861</v>
      </c>
      <c r="B93">
        <v>170.7516174316406</v>
      </c>
      <c r="C93">
        <v>154.6300048828125</v>
      </c>
      <c r="D93">
        <f t="shared" si="3"/>
        <v>1.1042592772408304</v>
      </c>
      <c r="E93">
        <f t="shared" si="4"/>
        <v>0</v>
      </c>
      <c r="F93">
        <f t="shared" si="5"/>
        <v>1</v>
      </c>
      <c r="G93" s="3">
        <f>E93*((B93-B92)/B92)+F93*((C93-C92)/C92)</f>
        <v>3.7297895521672675E-2</v>
      </c>
      <c r="H93">
        <f>E93*(((B93-B92)/B92) - ((C93-C92)/C92))+F93*(((C93-C92)/C92)-((B93-B92)/B92))</f>
        <v>1.4846946839849582E-2</v>
      </c>
    </row>
    <row r="94" spans="1:8" x14ac:dyDescent="0.45">
      <c r="A94" s="2">
        <v>45862</v>
      </c>
      <c r="B94">
        <v>173.71113586425781</v>
      </c>
      <c r="C94">
        <v>154.86000061035159</v>
      </c>
      <c r="D94">
        <f t="shared" si="3"/>
        <v>1.1217301768023247</v>
      </c>
      <c r="E94">
        <f t="shared" si="4"/>
        <v>0</v>
      </c>
      <c r="F94">
        <f t="shared" si="5"/>
        <v>1</v>
      </c>
      <c r="G94" s="3">
        <f>E94*((B94-B93)/B93)+F94*((C94-C93)/C93)</f>
        <v>1.4873939098262003E-3</v>
      </c>
      <c r="H94">
        <f>E94*(((B94-B93)/B93) - ((C94-C93)/C93))+F94*(((C94-C93)/C93)-((B94-B93)/B93))</f>
        <v>-1.5844907108066304E-2</v>
      </c>
    </row>
    <row r="95" spans="1:8" x14ac:dyDescent="0.45">
      <c r="A95" s="2">
        <v>45863</v>
      </c>
      <c r="B95">
        <v>173.47117614746091</v>
      </c>
      <c r="C95">
        <v>158.80000305175781</v>
      </c>
      <c r="D95">
        <f t="shared" si="3"/>
        <v>1.0923877381219023</v>
      </c>
      <c r="E95">
        <f t="shared" si="4"/>
        <v>0</v>
      </c>
      <c r="F95">
        <f t="shared" si="5"/>
        <v>1</v>
      </c>
      <c r="G95" s="3">
        <f>E95*((B95-B94)/B94)+F95*((C95-C94)/C94)</f>
        <v>2.544235067724036E-2</v>
      </c>
      <c r="H95">
        <f>E95*(((B95-B94)/B94) - ((C95-C94)/C94))+F95*(((C95-C94)/C94)-((B95-B94)/B94))</f>
        <v>2.6823722778706635E-2</v>
      </c>
    </row>
    <row r="96" spans="1:8" x14ac:dyDescent="0.45">
      <c r="A96" s="2">
        <v>45866</v>
      </c>
      <c r="B96">
        <v>176.72062683105469</v>
      </c>
      <c r="C96">
        <v>157.8800048828125</v>
      </c>
      <c r="D96">
        <f t="shared" si="3"/>
        <v>1.1193350732553293</v>
      </c>
      <c r="E96">
        <f t="shared" si="4"/>
        <v>0</v>
      </c>
      <c r="F96">
        <f t="shared" si="5"/>
        <v>1</v>
      </c>
      <c r="G96" s="3">
        <f>E96*((B96-B95)/B95)+F96*((C96-C95)/C95)</f>
        <v>-5.7934392397049062E-3</v>
      </c>
      <c r="H96">
        <f>E96*(((B96-B95)/B95) - ((C96-C95)/C95))+F96*(((C96-C95)/C95)-((B96-B95)/B95))</f>
        <v>-2.452537359190847E-2</v>
      </c>
    </row>
    <row r="97" spans="1:8" x14ac:dyDescent="0.45">
      <c r="A97" s="2">
        <v>45867</v>
      </c>
      <c r="B97">
        <v>175.4808349609375</v>
      </c>
      <c r="C97">
        <v>156.24000549316409</v>
      </c>
      <c r="D97">
        <f t="shared" si="3"/>
        <v>1.1231491858121783</v>
      </c>
      <c r="E97">
        <f t="shared" si="4"/>
        <v>0</v>
      </c>
      <c r="F97">
        <f t="shared" si="5"/>
        <v>1</v>
      </c>
      <c r="G97" s="3">
        <f>E97*((B97-B96)/B96)+F97*((C97-C96)/C96)</f>
        <v>-1.0387631992193754E-2</v>
      </c>
      <c r="H97">
        <f>E97*(((B97-B96)/B96) - ((C97-C96)/C96))+F97*(((C97-C96)/C96)-((B97-B96)/B96))</f>
        <v>-3.3720849541989681E-3</v>
      </c>
    </row>
    <row r="98" spans="1:8" x14ac:dyDescent="0.45">
      <c r="A98" s="2">
        <v>45868</v>
      </c>
      <c r="B98">
        <v>179.24021911621091</v>
      </c>
      <c r="C98">
        <v>158.61000061035159</v>
      </c>
      <c r="D98">
        <f t="shared" si="3"/>
        <v>1.1300688381972863</v>
      </c>
      <c r="E98">
        <f t="shared" si="4"/>
        <v>1</v>
      </c>
      <c r="F98">
        <f t="shared" si="5"/>
        <v>0</v>
      </c>
      <c r="G98" s="3">
        <f>E98*((B98-B97)/B97)+F98*((C98-C97)/C97)</f>
        <v>2.1423331819171353E-2</v>
      </c>
      <c r="H98">
        <f>E98*(((B98-B97)/B97) - ((C98-C97)/C97))+F98*(((C98-C97)/C97)-((B98-B97)/B97))</f>
        <v>6.2543927903565243E-3</v>
      </c>
    </row>
    <row r="99" spans="1:8" x14ac:dyDescent="0.45">
      <c r="A99" s="2">
        <v>45869</v>
      </c>
      <c r="B99">
        <v>177.84043884277341</v>
      </c>
      <c r="C99">
        <v>158.3500061035156</v>
      </c>
      <c r="D99">
        <f t="shared" si="3"/>
        <v>1.1230845089233319</v>
      </c>
      <c r="E99">
        <f t="shared" si="4"/>
        <v>1</v>
      </c>
      <c r="F99">
        <f t="shared" si="5"/>
        <v>0</v>
      </c>
      <c r="G99" s="3">
        <f>E99*((B99-B98)/B98)+F99*((C99-C98)/C98)</f>
        <v>-7.8095211015667661E-3</v>
      </c>
      <c r="H99">
        <f>E99*(((B99-B98)/B98) - ((C99-C98)/C98))+F99*(((C99-C98)/C98)-((B99-B98)/B98))</f>
        <v>-6.170314835659811E-3</v>
      </c>
    </row>
    <row r="100" spans="1:8" x14ac:dyDescent="0.45">
      <c r="A100" s="2">
        <v>45870</v>
      </c>
      <c r="B100">
        <v>173.6911315917969</v>
      </c>
      <c r="C100">
        <v>154.27000427246091</v>
      </c>
      <c r="D100">
        <f t="shared" si="3"/>
        <v>1.1258904957637503</v>
      </c>
      <c r="E100">
        <f t="shared" si="4"/>
        <v>1</v>
      </c>
      <c r="F100">
        <f t="shared" si="5"/>
        <v>0</v>
      </c>
      <c r="G100" s="3">
        <f>E100*((B100-B99)/B99)+F100*((C100-C99)/C99)</f>
        <v>-2.3331629622466564E-2</v>
      </c>
      <c r="H100">
        <f>E100*(((B100-B99)/B99) - ((C100-C99)/C99))+F100*(((C100-C99)/C99)-((B100-B99)/B99))</f>
        <v>2.4340898204966016E-3</v>
      </c>
    </row>
    <row r="101" spans="1:8" x14ac:dyDescent="0.45">
      <c r="A101" s="2">
        <v>45873</v>
      </c>
      <c r="B101">
        <v>179.9700927734375</v>
      </c>
      <c r="C101">
        <v>160.6600036621094</v>
      </c>
      <c r="D101">
        <f t="shared" si="3"/>
        <v>1.1201922611177075</v>
      </c>
      <c r="E101">
        <f t="shared" si="4"/>
        <v>0</v>
      </c>
      <c r="F101">
        <f t="shared" si="5"/>
        <v>1</v>
      </c>
      <c r="G101" s="3">
        <f>E101*((B101-B100)/B100)+F101*((C101-C100)/C100)</f>
        <v>4.1420880357032487E-2</v>
      </c>
      <c r="H101">
        <f>E101*(((B101-B100)/B100) - ((C101-C100)/C100))+F101*(((C101-C100)/C100)-((B101-B100)/B100))</f>
        <v>5.2707262064037655E-3</v>
      </c>
    </row>
    <row r="102" spans="1:8" x14ac:dyDescent="0.45">
      <c r="A102" s="2">
        <v>45874</v>
      </c>
      <c r="B102">
        <v>178.2303771972656</v>
      </c>
      <c r="C102">
        <v>173.27000427246091</v>
      </c>
      <c r="D102">
        <f t="shared" si="3"/>
        <v>1.0286279956281681</v>
      </c>
      <c r="E102">
        <f t="shared" si="4"/>
        <v>0</v>
      </c>
      <c r="F102">
        <f t="shared" si="5"/>
        <v>1</v>
      </c>
      <c r="G102" s="3">
        <f>E102*((B102-B101)/B101)+F102*((C102-C101)/C101)</f>
        <v>7.8488735982305283E-2</v>
      </c>
      <c r="H102">
        <f>E102*(((B102-B101)/B101) - ((C102-C101)/C101))+F102*(((C102-C101)/C101)-((B102-B101)/B101))</f>
        <v>8.8155428649747611E-2</v>
      </c>
    </row>
    <row r="103" spans="1:8" x14ac:dyDescent="0.45">
      <c r="A103" s="2">
        <v>45875</v>
      </c>
      <c r="B103">
        <v>179.39018249511719</v>
      </c>
      <c r="C103">
        <v>179.53999328613281</v>
      </c>
      <c r="D103">
        <f t="shared" si="3"/>
        <v>0.9991655854037107</v>
      </c>
      <c r="E103">
        <f t="shared" si="4"/>
        <v>0</v>
      </c>
      <c r="F103">
        <f t="shared" si="5"/>
        <v>1</v>
      </c>
      <c r="G103" s="3">
        <f>E103*((B103-B102)/B102)+F103*((C103-C102)/C102)</f>
        <v>3.6186234541857397E-2</v>
      </c>
      <c r="H103">
        <f>E103*(((B103-B102)/B102) - ((C103-C102)/C102))+F103*(((C103-C102)/C102)-((B103-B102)/B102))</f>
        <v>2.9678896589203474E-2</v>
      </c>
    </row>
    <row r="104" spans="1:8" x14ac:dyDescent="0.45">
      <c r="A104" s="2">
        <v>45876</v>
      </c>
      <c r="B104">
        <v>180.73997497558591</v>
      </c>
      <c r="C104">
        <v>182.19999694824219</v>
      </c>
      <c r="D104">
        <f t="shared" si="3"/>
        <v>0.99198670693133417</v>
      </c>
      <c r="E104">
        <f t="shared" si="4"/>
        <v>0</v>
      </c>
      <c r="F104">
        <f t="shared" si="5"/>
        <v>1</v>
      </c>
      <c r="G104" s="3">
        <f>E104*((B104-B103)/B103)+F104*((C104-C103)/C103)</f>
        <v>1.4815660920016457E-2</v>
      </c>
      <c r="H104">
        <f>E104*(((B104-B103)/B103) - ((C104-C103)/C103))+F104*(((C104-C103)/C103)-((B104-B103)/B103))</f>
        <v>7.2913222873520886E-3</v>
      </c>
    </row>
    <row r="105" spans="1:8" x14ac:dyDescent="0.45">
      <c r="A105" s="2">
        <v>45877</v>
      </c>
      <c r="B105">
        <v>182.66963195800781</v>
      </c>
      <c r="C105">
        <v>186.96000671386719</v>
      </c>
      <c r="D105">
        <f t="shared" si="3"/>
        <v>0.97705191162928462</v>
      </c>
      <c r="E105">
        <f t="shared" si="4"/>
        <v>0</v>
      </c>
      <c r="F105">
        <f t="shared" si="5"/>
        <v>1</v>
      </c>
      <c r="G105" s="3">
        <f>E105*((B105-B104)/B104)+F105*((C105-C104)/C104)</f>
        <v>2.6125191247819739E-2</v>
      </c>
      <c r="H105">
        <f>E105*(((B105-B104)/B104) - ((C105-C104)/C104))+F105*(((C105-C104)/C104)-((B105-B104)/B104))</f>
        <v>1.5448765168406159E-2</v>
      </c>
    </row>
    <row r="106" spans="1:8" x14ac:dyDescent="0.45">
      <c r="A106" s="2">
        <v>45880</v>
      </c>
      <c r="B106">
        <v>182.02973937988281</v>
      </c>
      <c r="C106">
        <v>182.67999267578119</v>
      </c>
      <c r="D106">
        <f t="shared" si="3"/>
        <v>0.99644047885937659</v>
      </c>
      <c r="E106">
        <f t="shared" si="4"/>
        <v>0</v>
      </c>
      <c r="F106">
        <f t="shared" si="5"/>
        <v>1</v>
      </c>
      <c r="G106" s="3">
        <f>E106*((B106-B105)/B105)+F106*((C106-C105)/C105)</f>
        <v>-2.2892671610973671E-2</v>
      </c>
      <c r="H106">
        <f>E106*(((B106-B105)/B105) - ((C106-C105)/C105))+F106*(((C106-C105)/C105)-((B106-B105)/B105))</f>
        <v>-1.9389666917385091E-2</v>
      </c>
    </row>
    <row r="107" spans="1:8" x14ac:dyDescent="0.45">
      <c r="A107" s="2">
        <v>45881</v>
      </c>
      <c r="B107">
        <v>183.12956237792969</v>
      </c>
      <c r="C107">
        <v>186.9700012207031</v>
      </c>
      <c r="D107">
        <f t="shared" si="3"/>
        <v>0.97945959877146238</v>
      </c>
      <c r="E107">
        <f t="shared" si="4"/>
        <v>0</v>
      </c>
      <c r="F107">
        <f t="shared" si="5"/>
        <v>1</v>
      </c>
      <c r="G107" s="3">
        <f>E107*((B107-B106)/B106)+F107*((C107-C106)/C106)</f>
        <v>2.3483735038985751E-2</v>
      </c>
      <c r="H107">
        <f>E107*(((B107-B106)/B106) - ((C107-C106)/C106))+F107*(((C107-C106)/C106)-((B107-B106)/B106))</f>
        <v>1.7441738814667568E-2</v>
      </c>
    </row>
    <row r="108" spans="1:8" x14ac:dyDescent="0.45">
      <c r="A108" s="2">
        <v>45882</v>
      </c>
      <c r="B108">
        <v>181.55982971191409</v>
      </c>
      <c r="C108">
        <v>184.3699951171875</v>
      </c>
      <c r="D108">
        <f t="shared" si="3"/>
        <v>0.98475801117482675</v>
      </c>
      <c r="E108">
        <f t="shared" si="4"/>
        <v>0</v>
      </c>
      <c r="F108">
        <f t="shared" si="5"/>
        <v>1</v>
      </c>
      <c r="G108" s="3">
        <f>E108*((B108-B107)/B107)+F108*((C108-C107)/C107)</f>
        <v>-1.3906006774030545E-2</v>
      </c>
      <c r="H108">
        <f>E108*(((B108-B107)/B107) - ((C108-C107)/C107))+F108*(((C108-C107)/C107)-((B108-B107)/B107))</f>
        <v>-5.3343013342714816E-3</v>
      </c>
    </row>
    <row r="109" spans="1:8" x14ac:dyDescent="0.45">
      <c r="A109" s="2">
        <v>45883</v>
      </c>
      <c r="B109">
        <v>181.98974609375</v>
      </c>
      <c r="C109">
        <v>181.02000427246091</v>
      </c>
      <c r="D109">
        <f t="shared" si="3"/>
        <v>1.0053570975494481</v>
      </c>
      <c r="E109">
        <f t="shared" si="4"/>
        <v>0</v>
      </c>
      <c r="F109">
        <f t="shared" si="5"/>
        <v>1</v>
      </c>
      <c r="G109" s="3">
        <f>E109*((B109-B108)/B108)+F109*((C109-C108)/C108)</f>
        <v>-1.8169935094901432E-2</v>
      </c>
      <c r="H109">
        <f>E109*(((B109-B108)/B108) - ((C109-C108)/C108))+F109*(((C109-C108)/C108)-((B109-B108)/B108))</f>
        <v>-2.0537839837476202E-2</v>
      </c>
    </row>
    <row r="110" spans="1:8" x14ac:dyDescent="0.45">
      <c r="A110" s="2">
        <v>45884</v>
      </c>
      <c r="B110">
        <v>180.4200134277344</v>
      </c>
      <c r="C110">
        <v>177.16999816894531</v>
      </c>
      <c r="D110">
        <f t="shared" si="3"/>
        <v>1.0183440497396741</v>
      </c>
      <c r="E110">
        <f t="shared" si="4"/>
        <v>0</v>
      </c>
      <c r="F110">
        <f t="shared" si="5"/>
        <v>1</v>
      </c>
      <c r="G110" s="3">
        <f>E110*((B110-B109)/B109)+F110*((C110-C109)/C109)</f>
        <v>-2.126840135149256E-2</v>
      </c>
      <c r="H110">
        <f>E110*(((B110-B109)/B109) - ((C110-C109)/C109))+F110*(((C110-C109)/C109)-((B110-B109)/B109))</f>
        <v>-1.2643010637408228E-2</v>
      </c>
    </row>
    <row r="111" spans="1:8" x14ac:dyDescent="0.45">
      <c r="A111" s="2">
        <v>45887</v>
      </c>
      <c r="B111">
        <v>181.979736328125</v>
      </c>
      <c r="C111">
        <v>174.0299987792969</v>
      </c>
      <c r="D111">
        <f t="shared" si="3"/>
        <v>1.0456802712439817</v>
      </c>
      <c r="E111">
        <f t="shared" si="4"/>
        <v>1</v>
      </c>
      <c r="F111">
        <f t="shared" si="5"/>
        <v>0</v>
      </c>
      <c r="G111" s="3">
        <f>E111*((B111-B110)/B110)+F111*((C111-C110)/C110)</f>
        <v>8.6449550177831545E-3</v>
      </c>
      <c r="H111">
        <f>E111*(((B111-B110)/B110) - ((C111-C110)/C110))+F111*(((C111-C110)/C110)-((B111-B110)/B110))</f>
        <v>2.6368042572675922E-2</v>
      </c>
    </row>
    <row r="112" spans="1:8" x14ac:dyDescent="0.45">
      <c r="A112" s="2">
        <v>45888</v>
      </c>
      <c r="B112">
        <v>175.6108093261719</v>
      </c>
      <c r="C112">
        <v>157.75</v>
      </c>
      <c r="D112">
        <f t="shared" si="3"/>
        <v>1.113222246124703</v>
      </c>
      <c r="E112">
        <f t="shared" si="4"/>
        <v>1</v>
      </c>
      <c r="F112">
        <f t="shared" si="5"/>
        <v>0</v>
      </c>
      <c r="G112" s="3">
        <f>E112*((B112-B111)/B111)+F112*((C112-C111)/C111)</f>
        <v>-3.4998001043750157E-2</v>
      </c>
      <c r="H112">
        <f>E112*(((B112-B111)/B111) - ((C112-C111)/C111))+F112*(((C112-C111)/C111)-((B112-B111)/B111))</f>
        <v>5.8549082180349807E-2</v>
      </c>
    </row>
    <row r="113" spans="1:8" x14ac:dyDescent="0.45">
      <c r="A113" s="2">
        <v>45889</v>
      </c>
      <c r="B113">
        <v>175.370849609375</v>
      </c>
      <c r="C113">
        <v>156.00999450683591</v>
      </c>
      <c r="D113">
        <f t="shared" si="3"/>
        <v>1.1241000947647029</v>
      </c>
      <c r="E113">
        <f t="shared" si="4"/>
        <v>1</v>
      </c>
      <c r="F113">
        <f t="shared" si="5"/>
        <v>0</v>
      </c>
      <c r="G113" s="3">
        <f>E113*((B113-B112)/B112)+F113*((C113-C112)/C112)</f>
        <v>-1.366429080975378E-3</v>
      </c>
      <c r="H113">
        <f>E113*(((B113-B112)/B112) - ((C113-C112)/C112))+F113*(((C113-C112)/C112)-((B113-B112)/B112))</f>
        <v>9.6637166760077664E-3</v>
      </c>
    </row>
    <row r="114" spans="1:8" x14ac:dyDescent="0.45">
      <c r="A114" s="2">
        <v>45890</v>
      </c>
      <c r="B114">
        <v>174.95091247558591</v>
      </c>
      <c r="C114">
        <v>156.17999267578119</v>
      </c>
      <c r="D114">
        <f t="shared" si="3"/>
        <v>1.1201877364584838</v>
      </c>
      <c r="E114">
        <f t="shared" si="4"/>
        <v>1</v>
      </c>
      <c r="F114">
        <f t="shared" si="5"/>
        <v>0</v>
      </c>
      <c r="G114" s="3">
        <f>E114*((B114-B113)/B113)+F114*((C114-C113)/C113)</f>
        <v>-2.3945663416951473E-3</v>
      </c>
      <c r="H114">
        <f>E114*(((B114-B113)/B113) - ((C114-C113)/C113))+F114*(((C114-C113)/C113)-((B114-B113)/B113))</f>
        <v>-3.4842283821475313E-3</v>
      </c>
    </row>
    <row r="115" spans="1:8" x14ac:dyDescent="0.45">
      <c r="A115" s="2">
        <v>45891</v>
      </c>
      <c r="B115">
        <v>177.96043395996091</v>
      </c>
      <c r="C115">
        <v>158.74000549316409</v>
      </c>
      <c r="D115">
        <f t="shared" si="3"/>
        <v>1.121081188116908</v>
      </c>
      <c r="E115">
        <f t="shared" si="4"/>
        <v>1</v>
      </c>
      <c r="F115">
        <f t="shared" si="5"/>
        <v>0</v>
      </c>
      <c r="G115" s="3">
        <f>E115*((B115-B114)/B114)+F115*((C115-C114)/C114)</f>
        <v>1.7202090813873139E-2</v>
      </c>
      <c r="H115">
        <f>E115*(((B115-B114)/B114) - ((C115-C114)/C114))+F115*(((C115-C114)/C114)-((B115-B114)/B114))</f>
        <v>8.1066465535547041E-4</v>
      </c>
    </row>
    <row r="116" spans="1:8" x14ac:dyDescent="0.45">
      <c r="A116" s="2">
        <v>45894</v>
      </c>
      <c r="B116">
        <v>179.7801208496094</v>
      </c>
      <c r="C116">
        <v>157.16999816894531</v>
      </c>
      <c r="D116">
        <f t="shared" si="3"/>
        <v>1.1438577523959756</v>
      </c>
      <c r="E116">
        <f t="shared" si="4"/>
        <v>1</v>
      </c>
      <c r="F116">
        <f t="shared" si="5"/>
        <v>0</v>
      </c>
      <c r="G116" s="3">
        <f>E116*((B116-B115)/B115)+F116*((C116-C115)/C115)</f>
        <v>1.022523293047208E-2</v>
      </c>
      <c r="H116">
        <f>E116*(((B116-B115)/B115) - ((C116-C115)/C115))+F116*(((C116-C115)/C115)-((B116-B115)/B115))</f>
        <v>2.0115665523952043E-2</v>
      </c>
    </row>
    <row r="117" spans="1:8" x14ac:dyDescent="0.45">
      <c r="A117" s="2">
        <v>45895</v>
      </c>
      <c r="B117">
        <v>181.73979187011719</v>
      </c>
      <c r="C117">
        <v>160.8699951171875</v>
      </c>
      <c r="D117">
        <f t="shared" si="3"/>
        <v>1.1297308223185241</v>
      </c>
      <c r="E117">
        <f t="shared" si="4"/>
        <v>1</v>
      </c>
      <c r="F117">
        <f t="shared" si="5"/>
        <v>0</v>
      </c>
      <c r="G117" s="3">
        <f>E117*((B117-B116)/B116)+F117*((C117-C116)/C116)</f>
        <v>1.090037658917305E-2</v>
      </c>
      <c r="H117">
        <f>E117*(((B117-B116)/B116) - ((C117-C116)/C116))+F117*(((C117-C116)/C116)-((B117-B116)/B116))</f>
        <v>-1.2640992573820661E-2</v>
      </c>
    </row>
    <row r="118" spans="1:8" x14ac:dyDescent="0.45">
      <c r="A118" s="2">
        <v>45896</v>
      </c>
      <c r="B118">
        <v>181.56982421875</v>
      </c>
      <c r="C118">
        <v>156.7200012207031</v>
      </c>
      <c r="D118">
        <f t="shared" si="3"/>
        <v>1.1585619117182866</v>
      </c>
      <c r="E118">
        <f t="shared" si="4"/>
        <v>1</v>
      </c>
      <c r="F118">
        <f t="shared" si="5"/>
        <v>0</v>
      </c>
      <c r="G118" s="3">
        <f>E118*((B118-B117)/B117)+F118*((C118-C117)/C117)</f>
        <v>-9.3522529996434235E-4</v>
      </c>
      <c r="H118">
        <f>E118*(((B118-B117)/B117) - ((C118-C117)/C117))+F118*(((C118-C117)/C117)-((B118-B117)/B117))</f>
        <v>2.4861965117436335E-2</v>
      </c>
    </row>
    <row r="119" spans="1:8" x14ac:dyDescent="0.45">
      <c r="A119" s="2">
        <v>45897</v>
      </c>
      <c r="B119">
        <v>180.14006042480469</v>
      </c>
      <c r="C119">
        <v>158.1199951171875</v>
      </c>
      <c r="D119">
        <f t="shared" si="3"/>
        <v>1.1392617378421841</v>
      </c>
      <c r="E119">
        <f t="shared" si="4"/>
        <v>1</v>
      </c>
      <c r="F119">
        <f t="shared" si="5"/>
        <v>0</v>
      </c>
      <c r="G119" s="3">
        <f>E119*((B119-B118)/B118)+F119*((C119-C118)/C118)</f>
        <v>-7.8744571136598936E-3</v>
      </c>
      <c r="H119">
        <f>E119*(((B119-B118)/B118) - ((C119-C118)/C118))+F119*(((C119-C118)/C118)-((B119-B118)/B118))</f>
        <v>-1.6807547246251477E-2</v>
      </c>
    </row>
    <row r="120" spans="1:8" x14ac:dyDescent="0.45">
      <c r="A120" s="2">
        <v>45898</v>
      </c>
      <c r="B120">
        <v>174.15104675292969</v>
      </c>
      <c r="C120">
        <v>156.71000671386719</v>
      </c>
      <c r="D120">
        <f t="shared" si="3"/>
        <v>1.1112949989907641</v>
      </c>
      <c r="E120">
        <f t="shared" si="4"/>
        <v>1</v>
      </c>
      <c r="F120">
        <f t="shared" si="5"/>
        <v>0</v>
      </c>
      <c r="G120" s="3">
        <f>E120*((B120-B119)/B119)+F120*((C120-C119)/C119)</f>
        <v>-3.3246428683057848E-2</v>
      </c>
      <c r="H120">
        <f>E120*(((B120-B119)/B119) - ((C120-C119)/C119))+F120*(((C120-C119)/C119)-((B120-B119)/B119))</f>
        <v>-2.4329223731999458E-2</v>
      </c>
    </row>
    <row r="121" spans="1:8" x14ac:dyDescent="0.45">
      <c r="A121" s="2">
        <v>45902</v>
      </c>
      <c r="B121">
        <v>170.7516174316406</v>
      </c>
      <c r="C121">
        <v>157.0899963378906</v>
      </c>
      <c r="D121">
        <f t="shared" si="3"/>
        <v>1.0869668432887649</v>
      </c>
      <c r="E121">
        <f t="shared" si="4"/>
        <v>0</v>
      </c>
      <c r="F121">
        <f t="shared" si="5"/>
        <v>1</v>
      </c>
      <c r="G121" s="3">
        <f>E121*((B121-B120)/B120)+F121*((C121-C120)/C120)</f>
        <v>2.4247948933932627E-3</v>
      </c>
      <c r="H121">
        <f>E121*(((B121-B120)/B120) - ((C121-C120)/C120))+F121*(((C121-C120)/C120)-((B121-B120)/B120))</f>
        <v>2.1944799996273322E-2</v>
      </c>
    </row>
    <row r="122" spans="1:8" x14ac:dyDescent="0.45">
      <c r="A122" s="2">
        <v>45903</v>
      </c>
      <c r="B122">
        <v>170.59165954589841</v>
      </c>
      <c r="C122">
        <v>154.8999938964844</v>
      </c>
      <c r="D122">
        <f t="shared" si="3"/>
        <v>1.1013019126385526</v>
      </c>
      <c r="E122">
        <f t="shared" si="4"/>
        <v>0</v>
      </c>
      <c r="F122">
        <f t="shared" si="5"/>
        <v>1</v>
      </c>
      <c r="G122" s="3">
        <f>E122*((B122-B121)/B121)+F122*((C122-C121)/C121)</f>
        <v>-1.3941068766057114E-2</v>
      </c>
      <c r="H122">
        <f>E122*(((B122-B121)/B121) - ((C122-C121)/C121))+F122*(((C122-C121)/C121)-((B122-B121)/B121))</f>
        <v>-1.3004281822845723E-2</v>
      </c>
    </row>
    <row r="123" spans="1:8" x14ac:dyDescent="0.45">
      <c r="A123" s="2">
        <v>45904</v>
      </c>
      <c r="B123">
        <v>171.63148498535159</v>
      </c>
      <c r="C123">
        <v>156.13999938964841</v>
      </c>
      <c r="D123">
        <f t="shared" si="3"/>
        <v>1.0992153558105511</v>
      </c>
      <c r="E123">
        <f t="shared" si="4"/>
        <v>0</v>
      </c>
      <c r="F123">
        <f t="shared" si="5"/>
        <v>1</v>
      </c>
      <c r="G123" s="3">
        <f>E123*((B123-B122)/B122)+F123*((C123-C122)/C122)</f>
        <v>8.0052004004123375E-3</v>
      </c>
      <c r="H123">
        <f>E123*(((B123-B122)/B122) - ((C123-C122)/C122))+F123*(((C123-C122)/C122)-((B123-B122)/B122))</f>
        <v>1.9097943165444897E-3</v>
      </c>
    </row>
    <row r="124" spans="1:8" x14ac:dyDescent="0.45">
      <c r="A124" s="2">
        <v>45905</v>
      </c>
      <c r="B124">
        <v>166.99226379394531</v>
      </c>
      <c r="C124">
        <v>153.11000061035159</v>
      </c>
      <c r="D124">
        <f t="shared" si="3"/>
        <v>1.0906685593903338</v>
      </c>
      <c r="E124">
        <f t="shared" si="4"/>
        <v>0</v>
      </c>
      <c r="F124">
        <f t="shared" si="5"/>
        <v>1</v>
      </c>
      <c r="G124" s="3">
        <f>E124*((B124-B123)/B123)+F124*((C124-C123)/C123)</f>
        <v>-1.9405653843608876E-2</v>
      </c>
      <c r="H124">
        <f>E124*(((B124-B123)/B123) - ((C124-C123)/C123))+F124*(((C124-C123)/C123)-((B124-B123)/B123))</f>
        <v>7.6244752250886685E-3</v>
      </c>
    </row>
    <row r="125" spans="1:8" x14ac:dyDescent="0.45">
      <c r="A125" s="2">
        <v>45908</v>
      </c>
      <c r="B125">
        <v>168.28202819824219</v>
      </c>
      <c r="C125">
        <v>156.1000061035156</v>
      </c>
      <c r="D125">
        <f t="shared" si="3"/>
        <v>1.0780398566201737</v>
      </c>
      <c r="E125">
        <f t="shared" si="4"/>
        <v>0</v>
      </c>
      <c r="F125">
        <f t="shared" si="5"/>
        <v>1</v>
      </c>
      <c r="G125" s="3">
        <f>E125*((B125-B124)/B124)+F125*((C125-C124)/C124)</f>
        <v>1.9528479402029699E-2</v>
      </c>
      <c r="H125">
        <f>E125*(((B125-B124)/B124) - ((C125-C124)/C124))+F125*(((C125-C124)/C124)-((B125-B124)/B124))</f>
        <v>1.1804981468686283E-2</v>
      </c>
    </row>
    <row r="126" spans="1:8" x14ac:dyDescent="0.45">
      <c r="A126" s="2">
        <v>45909</v>
      </c>
      <c r="B126">
        <v>170.73161315917969</v>
      </c>
      <c r="C126">
        <v>162.36000061035159</v>
      </c>
      <c r="D126">
        <f t="shared" si="3"/>
        <v>1.0515620381704676</v>
      </c>
      <c r="E126">
        <f t="shared" si="4"/>
        <v>0</v>
      </c>
      <c r="F126">
        <f t="shared" si="5"/>
        <v>1</v>
      </c>
      <c r="G126" s="3">
        <f>E126*((B126-B125)/B125)+F126*((C126-C125)/C125)</f>
        <v>4.0102461640422769E-2</v>
      </c>
      <c r="H126">
        <f>E126*(((B126-B125)/B125) - ((C126-C125)/C125))+F126*(((C126-C125)/C125)-((B126-B125)/B125))</f>
        <v>2.5546035222434732E-2</v>
      </c>
    </row>
    <row r="127" spans="1:8" x14ac:dyDescent="0.45">
      <c r="A127" s="2">
        <v>45910</v>
      </c>
      <c r="B127">
        <v>177.300537109375</v>
      </c>
      <c r="C127">
        <v>166.74000549316409</v>
      </c>
      <c r="D127">
        <f t="shared" si="3"/>
        <v>1.0633353200689672</v>
      </c>
      <c r="E127">
        <f t="shared" si="4"/>
        <v>0</v>
      </c>
      <c r="F127">
        <f t="shared" si="5"/>
        <v>1</v>
      </c>
      <c r="G127" s="3">
        <f>E127*((B127-B126)/B126)+F127*((C127-C126)/C126)</f>
        <v>2.6977117925270837E-2</v>
      </c>
      <c r="H127">
        <f>E127*(((B127-B126)/B126) - ((C127-C126)/C126))+F127*(((C127-C126)/C126)-((B127-B126)/B126))</f>
        <v>-1.1498029287629042E-2</v>
      </c>
    </row>
    <row r="128" spans="1:8" x14ac:dyDescent="0.45">
      <c r="A128" s="2">
        <v>45911</v>
      </c>
      <c r="B128">
        <v>177.15055847167969</v>
      </c>
      <c r="C128">
        <v>164.36000061035159</v>
      </c>
      <c r="D128">
        <f t="shared" si="3"/>
        <v>1.0778203809554046</v>
      </c>
      <c r="E128">
        <f t="shared" si="4"/>
        <v>0</v>
      </c>
      <c r="F128">
        <f t="shared" si="5"/>
        <v>1</v>
      </c>
      <c r="G128" s="3">
        <f>E128*((B128-B127)/B127)+F128*((C128-C127)/C127)</f>
        <v>-1.4273748377140806E-2</v>
      </c>
      <c r="H128">
        <f>E128*(((B128-B127)/B127) - ((C128-C127)/C127))+F128*(((C128-C127)/C127)-((B128-B127)/B127))</f>
        <v>-1.3427847737805506E-2</v>
      </c>
    </row>
    <row r="129" spans="1:8" x14ac:dyDescent="0.45">
      <c r="A129" s="2">
        <v>45912</v>
      </c>
      <c r="B129">
        <v>177.80047607421881</v>
      </c>
      <c r="C129">
        <v>171.42999267578119</v>
      </c>
      <c r="D129">
        <f t="shared" si="3"/>
        <v>1.0371608450715264</v>
      </c>
      <c r="E129">
        <f t="shared" si="4"/>
        <v>0</v>
      </c>
      <c r="F129">
        <f t="shared" si="5"/>
        <v>1</v>
      </c>
      <c r="G129" s="3">
        <f>E129*((B129-B128)/B128)+F129*((C129-C128)/C128)</f>
        <v>4.3015283762321464E-2</v>
      </c>
      <c r="H129">
        <f>E129*(((B129-B128)/B128) - ((C129-C128)/C128))+F129*(((C129-C128)/C128)-((B129-B128)/B128))</f>
        <v>3.9346553569506303E-2</v>
      </c>
    </row>
    <row r="130" spans="1:8" x14ac:dyDescent="0.45">
      <c r="A130" s="2">
        <v>45915</v>
      </c>
      <c r="B130">
        <v>177.7304992675781</v>
      </c>
      <c r="C130">
        <v>171.21000671386719</v>
      </c>
      <c r="D130">
        <f t="shared" si="3"/>
        <v>1.0380847631447629</v>
      </c>
      <c r="E130">
        <f t="shared" si="4"/>
        <v>0</v>
      </c>
      <c r="F130">
        <f t="shared" si="5"/>
        <v>1</v>
      </c>
      <c r="G130" s="3">
        <f>E130*((B130-B129)/B129)+F130*((C130-C129)/C129)</f>
        <v>-1.2832408056509485E-3</v>
      </c>
      <c r="H130">
        <f>E130*(((B130-B129)/B129) - ((C130-C129)/C129))+F130*(((C130-C129)/C129)-((B130-B129)/B129))</f>
        <v>-8.8967151840393336E-4</v>
      </c>
    </row>
    <row r="131" spans="1:8" x14ac:dyDescent="0.45">
      <c r="A131" s="2">
        <v>45916</v>
      </c>
      <c r="B131">
        <v>174.8608093261719</v>
      </c>
      <c r="C131">
        <v>170.25999450683591</v>
      </c>
      <c r="D131">
        <f t="shared" ref="D131:D194" si="6">B131/C131</f>
        <v>1.0270222892504044</v>
      </c>
      <c r="E131">
        <f t="shared" si="4"/>
        <v>0</v>
      </c>
      <c r="F131">
        <f t="shared" si="5"/>
        <v>1</v>
      </c>
      <c r="G131" s="3">
        <f>E131*((B131-B130)/B130)+F131*((C131-C130)/C130)</f>
        <v>-5.5488123928350503E-3</v>
      </c>
      <c r="H131">
        <f>E131*(((B131-B130)/B130) - ((C131-C130)/C130))+F131*(((C131-C130)/C130)-((B131-B130)/B130))</f>
        <v>1.0597487500723438E-2</v>
      </c>
    </row>
    <row r="132" spans="1:8" x14ac:dyDescent="0.45">
      <c r="A132" s="2">
        <v>45917</v>
      </c>
      <c r="B132">
        <v>170.27130126953119</v>
      </c>
      <c r="C132">
        <v>168.33000183105469</v>
      </c>
      <c r="D132">
        <f t="shared" si="6"/>
        <v>1.0115327001565941</v>
      </c>
      <c r="E132">
        <f t="shared" si="4"/>
        <v>0</v>
      </c>
      <c r="F132">
        <f t="shared" si="5"/>
        <v>1</v>
      </c>
      <c r="G132" s="3">
        <f>E132*((B132-B131)/B131)+F132*((C132-C131)/C131)</f>
        <v>-1.1335561717663116E-2</v>
      </c>
      <c r="H132">
        <f>E132*(((B132-B131)/B131) - ((C132-C131)/C131))+F132*(((C132-C131)/C131)-((B132-B131)/B131))</f>
        <v>1.4911074531628142E-2</v>
      </c>
    </row>
    <row r="133" spans="1:8" x14ac:dyDescent="0.45">
      <c r="A133" s="2">
        <v>45918</v>
      </c>
      <c r="B133">
        <v>176.22065734863281</v>
      </c>
      <c r="C133">
        <v>176.9700012207031</v>
      </c>
      <c r="D133">
        <f t="shared" si="6"/>
        <v>0.99576570115329455</v>
      </c>
      <c r="E133">
        <f t="shared" si="4"/>
        <v>0</v>
      </c>
      <c r="F133">
        <f t="shared" si="5"/>
        <v>1</v>
      </c>
      <c r="G133" s="3">
        <f>E133*((B133-B132)/B132)+F133*((C133-C132)/C132)</f>
        <v>5.1327744880083771E-2</v>
      </c>
      <c r="H133">
        <f>E133*(((B133-B132)/B132) - ((C133-C132)/C132))+F133*(((C133-C132)/C132)-((B133-B132)/B132))</f>
        <v>1.6387293760349399E-2</v>
      </c>
    </row>
    <row r="134" spans="1:8" x14ac:dyDescent="0.45">
      <c r="A134" s="2">
        <v>45919</v>
      </c>
      <c r="B134">
        <v>176.65058898925781</v>
      </c>
      <c r="C134">
        <v>182.38999938964841</v>
      </c>
      <c r="D134">
        <f t="shared" si="6"/>
        <v>0.96853220889524094</v>
      </c>
      <c r="E134">
        <f t="shared" si="4"/>
        <v>0</v>
      </c>
      <c r="F134">
        <f t="shared" si="5"/>
        <v>1</v>
      </c>
      <c r="G134" s="3">
        <f>E134*((B134-B133)/B133)+F134*((C134-C133)/C133)</f>
        <v>3.0626649327904543E-2</v>
      </c>
      <c r="H134">
        <f>E134*(((B134-B133)/B133) - ((C134-C133)/C133))+F134*(((C134-C133)/C133)-((B134-B133)/B133))</f>
        <v>2.8186914695803901E-2</v>
      </c>
    </row>
    <row r="135" spans="1:8" x14ac:dyDescent="0.45">
      <c r="A135" s="2">
        <v>45922</v>
      </c>
      <c r="B135">
        <v>183.58984375</v>
      </c>
      <c r="C135">
        <v>179.33000183105469</v>
      </c>
      <c r="D135">
        <f t="shared" si="6"/>
        <v>1.0237542066327445</v>
      </c>
      <c r="E135">
        <f t="shared" si="4"/>
        <v>0</v>
      </c>
      <c r="F135">
        <f t="shared" si="5"/>
        <v>1</v>
      </c>
      <c r="G135" s="3">
        <f>E135*((B135-B134)/B134)+F135*((C135-C134)/C134)</f>
        <v>-1.6777222264563442E-2</v>
      </c>
      <c r="H135">
        <f>E135*(((B135-B134)/B134) - ((C135-C134)/C134))+F135*(((C135-C134)/C134)-((B135-B134)/B134))</f>
        <v>-5.605959771797428E-2</v>
      </c>
    </row>
    <row r="136" spans="1:8" x14ac:dyDescent="0.45">
      <c r="A136" s="2">
        <v>45923</v>
      </c>
      <c r="B136">
        <v>178.410400390625</v>
      </c>
      <c r="C136">
        <v>182.55000305175781</v>
      </c>
      <c r="D136">
        <f t="shared" si="6"/>
        <v>0.97732345882262672</v>
      </c>
      <c r="E136">
        <f t="shared" si="4"/>
        <v>0</v>
      </c>
      <c r="F136">
        <f t="shared" si="5"/>
        <v>1</v>
      </c>
      <c r="G136" s="3">
        <f>E136*((B136-B135)/B135)+F136*((C136-C135)/C135)</f>
        <v>1.7955730707774495E-2</v>
      </c>
      <c r="H136">
        <f>E136*(((B136-B135)/B135) - ((C136-C135)/C135))+F136*(((C136-C135)/C135)-((B136-B135)/B135))</f>
        <v>4.6167767134081439E-2</v>
      </c>
    </row>
    <row r="137" spans="1:8" x14ac:dyDescent="0.45">
      <c r="A137" s="2">
        <v>45924</v>
      </c>
      <c r="B137">
        <v>176.9505615234375</v>
      </c>
      <c r="C137">
        <v>179.55999755859381</v>
      </c>
      <c r="D137">
        <f t="shared" si="6"/>
        <v>0.98546760931924826</v>
      </c>
      <c r="E137">
        <f t="shared" si="4"/>
        <v>0</v>
      </c>
      <c r="F137">
        <f t="shared" si="5"/>
        <v>1</v>
      </c>
      <c r="G137" s="3">
        <f>E137*((B137-B136)/B136)+F137*((C137-C136)/C136)</f>
        <v>-1.6379104043708282E-2</v>
      </c>
      <c r="H137">
        <f>E137*(((B137-B136)/B136) - ((C137-C136)/C136))+F137*(((C137-C136)/C136)-((B137-B136)/B136))</f>
        <v>-8.1966277755578815E-3</v>
      </c>
    </row>
    <row r="138" spans="1:8" x14ac:dyDescent="0.45">
      <c r="A138" s="2">
        <v>45925</v>
      </c>
      <c r="B138">
        <v>177.6705017089844</v>
      </c>
      <c r="C138">
        <v>179.1199951171875</v>
      </c>
      <c r="D138">
        <f t="shared" si="6"/>
        <v>0.99190769624990904</v>
      </c>
      <c r="E138">
        <f t="shared" si="4"/>
        <v>0</v>
      </c>
      <c r="F138">
        <f t="shared" si="5"/>
        <v>1</v>
      </c>
      <c r="G138" s="3">
        <f>E138*((B138-B137)/B137)+F138*((C138-C137)/C137)</f>
        <v>-2.4504480251105248E-3</v>
      </c>
      <c r="H138">
        <f>E138*(((B138-B137)/B137) - ((C138-C137)/C137))+F138*(((C138-C137)/C137)-((B138-B137)/B137))</f>
        <v>-6.519043113753664E-3</v>
      </c>
    </row>
    <row r="139" spans="1:8" x14ac:dyDescent="0.45">
      <c r="A139" s="2">
        <v>45926</v>
      </c>
      <c r="B139">
        <v>178.1704406738281</v>
      </c>
      <c r="C139">
        <v>177.57000732421881</v>
      </c>
      <c r="D139">
        <f t="shared" si="6"/>
        <v>1.0033813894511643</v>
      </c>
      <c r="E139">
        <f t="shared" si="4"/>
        <v>0</v>
      </c>
      <c r="F139">
        <f t="shared" si="5"/>
        <v>1</v>
      </c>
      <c r="G139" s="3">
        <f>E139*((B139-B138)/B138)+F139*((C139-C138)/C138)</f>
        <v>-8.6533487897575527E-3</v>
      </c>
      <c r="H139">
        <f>E139*(((B139-B138)/B138) - ((C139-C138)/C138))+F139*(((C139-C138)/C138)-((B139-B138)/B138))</f>
        <v>-1.1467203425360308E-2</v>
      </c>
    </row>
    <row r="140" spans="1:8" x14ac:dyDescent="0.45">
      <c r="A140" s="2">
        <v>45929</v>
      </c>
      <c r="B140">
        <v>181.8300476074219</v>
      </c>
      <c r="C140">
        <v>178.86000061035159</v>
      </c>
      <c r="D140">
        <f t="shared" si="6"/>
        <v>1.0166054287539705</v>
      </c>
      <c r="E140">
        <f t="shared" si="4"/>
        <v>1</v>
      </c>
      <c r="F140">
        <f t="shared" si="5"/>
        <v>0</v>
      </c>
      <c r="G140" s="3">
        <f>E140*((B140-B139)/B139)+F140*((C140-C139)/C139)</f>
        <v>2.0539921884648375E-2</v>
      </c>
      <c r="H140">
        <f>E140*(((B140-B139)/B139) - ((C140-C139)/C139))+F140*(((C140-C139)/C139)-((B140-B139)/B139))</f>
        <v>1.3275219328335298E-2</v>
      </c>
    </row>
    <row r="141" spans="1:8" x14ac:dyDescent="0.45">
      <c r="A141" s="2">
        <v>45930</v>
      </c>
      <c r="B141">
        <v>186.55950927734381</v>
      </c>
      <c r="C141">
        <v>182.41999816894531</v>
      </c>
      <c r="D141">
        <f t="shared" si="6"/>
        <v>1.0226922001422496</v>
      </c>
      <c r="E141">
        <f t="shared" si="4"/>
        <v>1</v>
      </c>
      <c r="F141">
        <f t="shared" si="5"/>
        <v>0</v>
      </c>
      <c r="G141" s="3">
        <f>E141*((B141-B140)/B140)+F141*((C141-C140)/C140)</f>
        <v>2.6010341701790642E-2</v>
      </c>
      <c r="H141">
        <f>E141*(((B141-B140)/B140) - ((C141-C140)/C140))+F141*(((C141-C140)/C140)-((B141-B140)/B140))</f>
        <v>6.1065200175381973E-3</v>
      </c>
    </row>
    <row r="142" spans="1:8" x14ac:dyDescent="0.45">
      <c r="A142" s="2">
        <v>45931</v>
      </c>
      <c r="B142">
        <v>187.2194519042969</v>
      </c>
      <c r="C142">
        <v>184.94999694824219</v>
      </c>
      <c r="D142">
        <f t="shared" si="6"/>
        <v>1.0122706406785711</v>
      </c>
      <c r="E142">
        <f t="shared" si="4"/>
        <v>1</v>
      </c>
      <c r="F142">
        <f t="shared" si="5"/>
        <v>0</v>
      </c>
      <c r="G142" s="3">
        <f>E142*((B142-B141)/B141)+F142*((C142-C141)/C141)</f>
        <v>3.5374376225015161E-3</v>
      </c>
      <c r="H142">
        <f>E142*(((B142-B141)/B141) - ((C142-C141)/C141))+F142*(((C142-C141)/C141)-((B142-B141)/B141))</f>
        <v>-1.0331649126166017E-2</v>
      </c>
    </row>
    <row r="143" spans="1:8" x14ac:dyDescent="0.45">
      <c r="A143" s="2">
        <v>45932</v>
      </c>
      <c r="B143">
        <v>188.8692626953125</v>
      </c>
      <c r="C143">
        <v>187.05000305175781</v>
      </c>
      <c r="D143">
        <f t="shared" si="6"/>
        <v>1.0097260604858225</v>
      </c>
      <c r="E143">
        <f t="shared" si="4"/>
        <v>1</v>
      </c>
      <c r="F143">
        <f t="shared" si="5"/>
        <v>0</v>
      </c>
      <c r="G143" s="3">
        <f>E143*((B143-B142)/B142)+F143*((C143-C142)/C142)</f>
        <v>8.8121761613689006E-3</v>
      </c>
      <c r="H143">
        <f>E143*(((B143-B142)/B142) - ((C143-C142)/C142))+F143*(((C143-C142)/C142)-((B143-B142)/B142))</f>
        <v>-2.542277140424376E-3</v>
      </c>
    </row>
    <row r="144" spans="1:8" x14ac:dyDescent="0.45">
      <c r="A144" s="2">
        <v>45933</v>
      </c>
      <c r="B144">
        <v>187.59941101074219</v>
      </c>
      <c r="C144">
        <v>173.07000732421881</v>
      </c>
      <c r="D144">
        <f t="shared" si="6"/>
        <v>1.0839510202325517</v>
      </c>
      <c r="E144">
        <f t="shared" ref="E144:E207" si="7">IF(D144&gt;(AVERAGE(D131:D143)),1,0)</f>
        <v>1</v>
      </c>
      <c r="F144">
        <f t="shared" ref="F144:F207" si="8">IF(D144&lt;(AVERAGE(D131:D143)),1,0)</f>
        <v>0</v>
      </c>
      <c r="G144" s="3">
        <f>E144*((B144-B143)/B143)+F144*((C144-C143)/C143)</f>
        <v>-6.7234428008482328E-3</v>
      </c>
      <c r="H144">
        <f>E144*(((B144-B143)/B143) - ((C144-C143)/C143))+F144*(((C144-C143)/C143)-((B144-B143)/B143))</f>
        <v>6.8015907637283865E-2</v>
      </c>
    </row>
    <row r="145" spans="1:8" x14ac:dyDescent="0.45">
      <c r="A145" s="2">
        <v>45936</v>
      </c>
      <c r="B145">
        <v>185.5196228027344</v>
      </c>
      <c r="C145">
        <v>179.5299987792969</v>
      </c>
      <c r="D145">
        <f t="shared" si="6"/>
        <v>1.0333628032315689</v>
      </c>
      <c r="E145">
        <f t="shared" si="7"/>
        <v>1</v>
      </c>
      <c r="F145">
        <f t="shared" si="8"/>
        <v>0</v>
      </c>
      <c r="G145" s="3">
        <f>E145*((B145-B144)/B144)+F145*((C145-C144)/C144)</f>
        <v>-1.1086325894107912E-2</v>
      </c>
      <c r="H145">
        <f>E145*(((B145-B144)/B144) - ((C145-C144)/C144))+F145*(((C145-C144)/C144)-((B145-B144)/B144))</f>
        <v>-4.8412212423807666E-2</v>
      </c>
    </row>
    <row r="146" spans="1:8" x14ac:dyDescent="0.45">
      <c r="A146" s="2">
        <v>45937</v>
      </c>
      <c r="B146">
        <v>185.0196838378906</v>
      </c>
      <c r="C146">
        <v>182.16999816894531</v>
      </c>
      <c r="D146">
        <f t="shared" si="6"/>
        <v>1.0156430021276197</v>
      </c>
      <c r="E146">
        <f t="shared" si="7"/>
        <v>1</v>
      </c>
      <c r="F146">
        <f t="shared" si="8"/>
        <v>0</v>
      </c>
      <c r="G146" s="3">
        <f>E146*((B146-B145)/B145)+F146*((C146-C145)/C145)</f>
        <v>-2.6948036940297087E-3</v>
      </c>
      <c r="H146">
        <f>E146*(((B146-B145)/B145) - ((C146-C145)/C145))+F146*(((C146-C145)/C145)-((B146-B145)/B145))</f>
        <v>-1.7399863614928283E-2</v>
      </c>
    </row>
    <row r="147" spans="1:8" x14ac:dyDescent="0.45">
      <c r="A147" s="2">
        <v>45938</v>
      </c>
      <c r="B147">
        <v>189.0892333984375</v>
      </c>
      <c r="C147">
        <v>183.55999755859381</v>
      </c>
      <c r="D147">
        <f t="shared" si="6"/>
        <v>1.030122226592854</v>
      </c>
      <c r="E147">
        <f t="shared" si="7"/>
        <v>1</v>
      </c>
      <c r="F147">
        <f t="shared" si="8"/>
        <v>0</v>
      </c>
      <c r="G147" s="3">
        <f>E147*((B147-B146)/B146)+F147*((C147-C146)/C146)</f>
        <v>2.1995224919487681E-2</v>
      </c>
      <c r="H147">
        <f>E147*(((B147-B146)/B146) - ((C147-C146)/C146))+F147*(((C147-C146)/C146)-((B147-B146)/B146))</f>
        <v>1.4364992698925202E-2</v>
      </c>
    </row>
    <row r="148" spans="1:8" x14ac:dyDescent="0.45">
      <c r="A148" s="2">
        <v>45939</v>
      </c>
      <c r="B148">
        <v>192.5488586425781</v>
      </c>
      <c r="C148">
        <v>185.4700012207031</v>
      </c>
      <c r="D148">
        <f t="shared" si="6"/>
        <v>1.0381671287824676</v>
      </c>
      <c r="E148">
        <f t="shared" si="7"/>
        <v>1</v>
      </c>
      <c r="F148">
        <f t="shared" si="8"/>
        <v>0</v>
      </c>
      <c r="G148" s="3">
        <f>E148*((B148-B147)/B147)+F148*((C148-C147)/C147)</f>
        <v>1.8296257179543807E-2</v>
      </c>
      <c r="H148">
        <f>E148*(((B148-B147)/B147) - ((C148-C147)/C147))+F148*(((C148-C147)/C147)-((B148-B147)/B147))</f>
        <v>7.890920028133127E-3</v>
      </c>
    </row>
    <row r="149" spans="1:8" x14ac:dyDescent="0.45">
      <c r="A149" s="2">
        <v>45940</v>
      </c>
      <c r="B149">
        <v>183.139892578125</v>
      </c>
      <c r="C149">
        <v>175.44000244140619</v>
      </c>
      <c r="D149">
        <f t="shared" si="6"/>
        <v>1.0438890220563604</v>
      </c>
      <c r="E149">
        <f t="shared" si="7"/>
        <v>1</v>
      </c>
      <c r="F149">
        <f t="shared" si="8"/>
        <v>0</v>
      </c>
      <c r="G149" s="3">
        <f>E149*((B149-B148)/B148)+F149*((C149-C148)/C148)</f>
        <v>-4.8865343221372405E-2</v>
      </c>
      <c r="H149">
        <f>E149*(((B149-B148)/B148) - ((C149-C148)/C148))+F149*(((C149-C148)/C148)-((B149-B148)/B148))</f>
        <v>5.2134766054606138E-3</v>
      </c>
    </row>
    <row r="150" spans="1:8" x14ac:dyDescent="0.45">
      <c r="A150" s="2">
        <v>45943</v>
      </c>
      <c r="B150">
        <v>188.29933166503909</v>
      </c>
      <c r="C150">
        <v>177.21000671386719</v>
      </c>
      <c r="D150">
        <f t="shared" si="6"/>
        <v>1.0625773067605451</v>
      </c>
      <c r="E150">
        <f t="shared" si="7"/>
        <v>1</v>
      </c>
      <c r="F150">
        <f t="shared" si="8"/>
        <v>0</v>
      </c>
      <c r="G150" s="3">
        <f>E150*((B150-B149)/B149)+F150*((C150-C149)/C149)</f>
        <v>2.8172120308048908E-2</v>
      </c>
      <c r="H150">
        <f>E150*(((B150-B149)/B149) - ((C150-C149)/C149))+F150*(((C150-C149)/C149)-((B150-B149)/B149))</f>
        <v>1.8083176806967138E-2</v>
      </c>
    </row>
    <row r="151" spans="1:8" x14ac:dyDescent="0.45">
      <c r="A151" s="2">
        <v>45944</v>
      </c>
      <c r="B151">
        <v>180.0102233886719</v>
      </c>
      <c r="C151">
        <v>179.74000549316409</v>
      </c>
      <c r="D151">
        <f t="shared" si="6"/>
        <v>1.00150338203655</v>
      </c>
      <c r="E151">
        <f t="shared" si="7"/>
        <v>0</v>
      </c>
      <c r="F151">
        <f t="shared" si="8"/>
        <v>1</v>
      </c>
      <c r="G151" s="3">
        <f>E151*((B151-B150)/B150)+F151*((C151-C150)/C150)</f>
        <v>1.4276839249726883E-2</v>
      </c>
      <c r="H151">
        <f>E151*(((B151-B150)/B150) - ((C151-C150)/C150))+F151*(((C151-C150)/C150)-((B151-B150)/B150))</f>
        <v>5.8297751077032105E-2</v>
      </c>
    </row>
    <row r="152" spans="1:8" x14ac:dyDescent="0.45">
      <c r="A152" s="2">
        <v>45945</v>
      </c>
      <c r="B152">
        <v>179.81025695800781</v>
      </c>
      <c r="C152">
        <v>179.6199951171875</v>
      </c>
      <c r="D152">
        <f t="shared" si="6"/>
        <v>1.0010592464424475</v>
      </c>
      <c r="E152">
        <f t="shared" si="7"/>
        <v>0</v>
      </c>
      <c r="F152">
        <f t="shared" si="8"/>
        <v>1</v>
      </c>
      <c r="G152" s="3">
        <f>E152*((B152-B151)/B151)+F152*((C152-C151)/C151)</f>
        <v>-6.6768872988131277E-4</v>
      </c>
      <c r="H152">
        <f>E152*(((B152-B151)/B151) - ((C152-C151)/C151))+F152*(((C152-C151)/C151)-((B152-B151)/B151))</f>
        <v>4.4317279175754573E-4</v>
      </c>
    </row>
    <row r="153" spans="1:8" x14ac:dyDescent="0.45">
      <c r="A153" s="2">
        <v>45946</v>
      </c>
      <c r="B153">
        <v>181.7900390625</v>
      </c>
      <c r="C153">
        <v>178.1199951171875</v>
      </c>
      <c r="D153">
        <f t="shared" si="6"/>
        <v>1.0206043344145497</v>
      </c>
      <c r="E153">
        <f t="shared" si="7"/>
        <v>0</v>
      </c>
      <c r="F153">
        <f t="shared" si="8"/>
        <v>1</v>
      </c>
      <c r="G153" s="3">
        <f>E153*((B153-B152)/B152)+F153*((C153-C152)/C152)</f>
        <v>-8.3509633714296191E-3</v>
      </c>
      <c r="H153">
        <f>E153*(((B153-B152)/B152) - ((C153-C152)/C152))+F153*(((C153-C152)/C152)-((B153-B152)/B152))</f>
        <v>-1.9361359207494398E-2</v>
      </c>
    </row>
    <row r="154" spans="1:8" x14ac:dyDescent="0.45">
      <c r="A154" s="2">
        <v>45947</v>
      </c>
      <c r="B154">
        <v>183.19989013671881</v>
      </c>
      <c r="C154">
        <v>178.1499938964844</v>
      </c>
      <c r="D154">
        <f t="shared" si="6"/>
        <v>1.0283463172228269</v>
      </c>
      <c r="E154">
        <f t="shared" si="7"/>
        <v>0</v>
      </c>
      <c r="F154">
        <f t="shared" si="8"/>
        <v>1</v>
      </c>
      <c r="G154" s="3">
        <f>E154*((B154-B153)/B153)+F154*((C154-C153)/C153)</f>
        <v>1.6841893172727087E-4</v>
      </c>
      <c r="H154">
        <f>E154*(((B154-B153)/B153) - ((C154-C153)/C153))+F154*(((C154-C153)/C153)-((B154-B153)/B153))</f>
        <v>-7.5869623943865079E-3</v>
      </c>
    </row>
    <row r="155" spans="1:8" x14ac:dyDescent="0.45">
      <c r="A155" s="2">
        <v>45950</v>
      </c>
      <c r="B155">
        <v>182.61994934082031</v>
      </c>
      <c r="C155">
        <v>181.5899963378906</v>
      </c>
      <c r="D155">
        <f t="shared" si="6"/>
        <v>1.005671859814421</v>
      </c>
      <c r="E155">
        <f t="shared" si="7"/>
        <v>0</v>
      </c>
      <c r="F155">
        <f t="shared" si="8"/>
        <v>1</v>
      </c>
      <c r="G155" s="3">
        <f>E155*((B155-B154)/B154)+F155*((C155-C154)/C154)</f>
        <v>1.9309584952357822E-2</v>
      </c>
      <c r="H155">
        <f>E155*(((B155-B154)/B154) - ((C155-C154)/C154))+F155*(((C155-C154)/C154)-((B155-B154)/B154))</f>
        <v>2.2475202548884188E-2</v>
      </c>
    </row>
    <row r="156" spans="1:8" x14ac:dyDescent="0.45">
      <c r="A156" s="2">
        <v>45951</v>
      </c>
      <c r="B156">
        <v>181.1401062011719</v>
      </c>
      <c r="C156">
        <v>181.50999450683591</v>
      </c>
      <c r="D156">
        <f t="shared" si="6"/>
        <v>0.99796216011868111</v>
      </c>
      <c r="E156">
        <f t="shared" si="7"/>
        <v>0</v>
      </c>
      <c r="F156">
        <f t="shared" si="8"/>
        <v>1</v>
      </c>
      <c r="G156" s="3">
        <f>E156*((B156-B155)/B155)+F156*((C156-C155)/C155)</f>
        <v>-4.4056298622213421E-4</v>
      </c>
      <c r="H156">
        <f>E156*(((B156-B155)/B155) - ((C156-C155)/C155))+F156*(((C156-C155)/C155)-((B156-B155)/B155))</f>
        <v>7.6628405301516688E-3</v>
      </c>
    </row>
    <row r="157" spans="1:8" x14ac:dyDescent="0.45">
      <c r="A157" s="2">
        <v>45952</v>
      </c>
      <c r="B157">
        <v>180.26020812988281</v>
      </c>
      <c r="C157">
        <v>175.49000549316409</v>
      </c>
      <c r="D157">
        <f t="shared" si="6"/>
        <v>1.0271821897965838</v>
      </c>
      <c r="E157">
        <f t="shared" si="7"/>
        <v>0</v>
      </c>
      <c r="F157">
        <f t="shared" si="8"/>
        <v>1</v>
      </c>
      <c r="G157" s="3">
        <f>E157*((B157-B156)/B156)+F157*((C157-C156)/C156)</f>
        <v>-3.3166157213701516E-2</v>
      </c>
      <c r="H157">
        <f>E157*(((B157-B156)/B156) - ((C157-C156)/C156))+F157*(((C157-C156)/C156)-((B157-B156)/B156))</f>
        <v>-2.8308601977911341E-2</v>
      </c>
    </row>
    <row r="158" spans="1:8" x14ac:dyDescent="0.45">
      <c r="A158" s="2">
        <v>45953</v>
      </c>
      <c r="B158">
        <v>182.13999938964841</v>
      </c>
      <c r="C158">
        <v>180.47999572753909</v>
      </c>
      <c r="D158">
        <f t="shared" si="6"/>
        <v>1.009197715544139</v>
      </c>
      <c r="E158">
        <f t="shared" si="7"/>
        <v>0</v>
      </c>
      <c r="F158">
        <f t="shared" si="8"/>
        <v>1</v>
      </c>
      <c r="G158" s="3">
        <f>E158*((B158-B157)/B157)+F158*((C158-C157)/C157)</f>
        <v>2.8434612104273803E-2</v>
      </c>
      <c r="H158">
        <f>E158*(((B158-B157)/B157) - ((C158-C157)/C157))+F158*(((C158-C157)/C157)-((B158-B157)/B157))</f>
        <v>1.8006402355336026E-2</v>
      </c>
    </row>
    <row r="159" spans="1:8" x14ac:dyDescent="0.45">
      <c r="A159" s="2">
        <v>45954</v>
      </c>
      <c r="B159">
        <v>186.2395324707031</v>
      </c>
      <c r="C159">
        <v>184.6300048828125</v>
      </c>
      <c r="D159">
        <f t="shared" si="6"/>
        <v>1.0087175840617681</v>
      </c>
      <c r="E159">
        <f t="shared" si="7"/>
        <v>0</v>
      </c>
      <c r="F159">
        <f t="shared" si="8"/>
        <v>1</v>
      </c>
      <c r="G159" s="3">
        <f>E159*((B159-B158)/B158)+F159*((C159-C158)/C158)</f>
        <v>2.2994288860348013E-2</v>
      </c>
      <c r="H159">
        <f>E159*(((B159-B158)/B158) - ((C159-C158)/C158))+F159*(((C159-C158)/C158)-((B159-B158)/B158))</f>
        <v>4.8669527962860379E-4</v>
      </c>
    </row>
    <row r="160" spans="1:8" x14ac:dyDescent="0.45">
      <c r="A160" s="2">
        <v>45957</v>
      </c>
      <c r="B160">
        <v>191.46897888183591</v>
      </c>
      <c r="C160">
        <v>189.17999267578119</v>
      </c>
      <c r="D160">
        <f t="shared" si="6"/>
        <v>1.0120995152483043</v>
      </c>
      <c r="E160">
        <f t="shared" si="7"/>
        <v>0</v>
      </c>
      <c r="F160">
        <f t="shared" si="8"/>
        <v>1</v>
      </c>
      <c r="G160" s="3">
        <f>E160*((B160-B159)/B159)+F160*((C160-C159)/C159)</f>
        <v>2.4643815591385811E-2</v>
      </c>
      <c r="H160">
        <f>E160*(((B160-B159)/B159) - ((C160-C159)/C159))+F160*(((C160-C159)/C159)-((B160-B159)/B159))</f>
        <v>-3.435327122073506E-3</v>
      </c>
    </row>
    <row r="161" spans="1:8" x14ac:dyDescent="0.45">
      <c r="A161" s="2">
        <v>45958</v>
      </c>
      <c r="B161">
        <v>201.0079345703125</v>
      </c>
      <c r="C161">
        <v>189.6000061035156</v>
      </c>
      <c r="D161">
        <f t="shared" si="6"/>
        <v>1.0601683971495683</v>
      </c>
      <c r="E161">
        <f t="shared" si="7"/>
        <v>1</v>
      </c>
      <c r="F161">
        <f t="shared" si="8"/>
        <v>0</v>
      </c>
      <c r="G161" s="3">
        <f>E161*((B161-B160)/B160)+F161*((C161-C160)/C160)</f>
        <v>4.9819849378125676E-2</v>
      </c>
      <c r="H161">
        <f>E161*(((B161-B160)/B160) - ((C161-C160)/C160))+F161*(((C161-C160)/C160)-((B161-B160)/B160))</f>
        <v>4.7599670479745934E-2</v>
      </c>
    </row>
    <row r="162" spans="1:8" x14ac:dyDescent="0.45">
      <c r="A162" s="2">
        <v>45959</v>
      </c>
      <c r="B162">
        <v>207.01727294921881</v>
      </c>
      <c r="C162">
        <v>198.80999755859381</v>
      </c>
      <c r="D162">
        <f t="shared" si="6"/>
        <v>1.041282005389121</v>
      </c>
      <c r="E162">
        <f t="shared" si="7"/>
        <v>1</v>
      </c>
      <c r="F162">
        <f t="shared" si="8"/>
        <v>0</v>
      </c>
      <c r="G162" s="3">
        <f>E162*((B162-B161)/B161)+F162*((C162-C161)/C161)</f>
        <v>2.9896025705414341E-2</v>
      </c>
      <c r="H162">
        <f>E162*(((B162-B161)/B161) - ((C162-C161)/C161))+F162*(((C162-C161)/C161)-((B162-B161)/B161))</f>
        <v>-1.8679877029788353E-2</v>
      </c>
    </row>
    <row r="163" spans="1:8" x14ac:dyDescent="0.45">
      <c r="A163" s="2">
        <v>45960</v>
      </c>
      <c r="B163">
        <v>202.86772155761719</v>
      </c>
      <c r="C163">
        <v>194.55000305175781</v>
      </c>
      <c r="D163">
        <f t="shared" si="6"/>
        <v>1.0427536282466494</v>
      </c>
      <c r="E163">
        <f t="shared" si="7"/>
        <v>1</v>
      </c>
      <c r="F163">
        <f t="shared" si="8"/>
        <v>0</v>
      </c>
      <c r="G163" s="3">
        <f>E163*((B163-B162)/B162)+F163*((C163-C162)/C162)</f>
        <v>-2.0044469393718182E-2</v>
      </c>
      <c r="H163">
        <f>E163*(((B163-B162)/B162) - ((C163-C162)/C162))+F163*(((C163-C162)/C162)-((B163-B162)/B162))</f>
        <v>1.3829968260350642E-3</v>
      </c>
    </row>
    <row r="164" spans="1:8" x14ac:dyDescent="0.45">
      <c r="A164" s="2">
        <v>45961</v>
      </c>
      <c r="B164">
        <v>202.4677734375</v>
      </c>
      <c r="C164">
        <v>200.4700012207031</v>
      </c>
      <c r="D164">
        <f t="shared" si="6"/>
        <v>1.0099654422339106</v>
      </c>
      <c r="E164">
        <f t="shared" si="7"/>
        <v>0</v>
      </c>
      <c r="F164">
        <f t="shared" si="8"/>
        <v>1</v>
      </c>
      <c r="G164" s="3">
        <f>E164*((B164-B163)/B163)+F164*((C164-C163)/C163)</f>
        <v>3.0429185690479459E-2</v>
      </c>
      <c r="H164">
        <f>E164*(((B164-B163)/B163) - ((C164-C163)/C163))+F164*(((C164-C163)/C163)-((B164-B163)/B163))</f>
        <v>3.2400658121117455E-2</v>
      </c>
    </row>
    <row r="165" spans="1:8" x14ac:dyDescent="0.45">
      <c r="A165" s="2">
        <v>45964</v>
      </c>
      <c r="B165">
        <v>206.85728454589841</v>
      </c>
      <c r="C165">
        <v>207.17999267578119</v>
      </c>
      <c r="D165">
        <f t="shared" si="6"/>
        <v>0.99844237792600088</v>
      </c>
      <c r="E165">
        <f t="shared" si="7"/>
        <v>0</v>
      </c>
      <c r="F165">
        <f t="shared" si="8"/>
        <v>1</v>
      </c>
      <c r="G165" s="3">
        <f>E165*((B165-B164)/B164)+F165*((C165-C164)/C164)</f>
        <v>3.3471299517232392E-2</v>
      </c>
      <c r="H165">
        <f>E165*(((B165-B164)/B164) - ((C165-C164)/C164))+F165*(((C165-C164)/C164)-((B165-B164)/B164))</f>
        <v>1.1791251211898446E-2</v>
      </c>
    </row>
    <row r="166" spans="1:8" x14ac:dyDescent="0.45">
      <c r="A166" s="2">
        <v>45965</v>
      </c>
      <c r="B166">
        <v>198.6681823730469</v>
      </c>
      <c r="C166">
        <v>190.74000549316409</v>
      </c>
      <c r="D166">
        <f t="shared" si="6"/>
        <v>1.0415653593979106</v>
      </c>
      <c r="E166">
        <f t="shared" si="7"/>
        <v>1</v>
      </c>
      <c r="F166">
        <f t="shared" si="8"/>
        <v>0</v>
      </c>
      <c r="G166" s="3">
        <f>E166*((B166-B165)/B165)+F166*((C166-C165)/C165)</f>
        <v>-3.9588173995557169E-2</v>
      </c>
      <c r="H166">
        <f>E166*(((B166-B165)/B165) - ((C166-C165)/C165))+F166*(((C166-C165)/C165)-((B166-B165)/B165))</f>
        <v>3.9763055678170373E-2</v>
      </c>
    </row>
    <row r="167" spans="1:8" x14ac:dyDescent="0.45">
      <c r="A167" s="2">
        <v>45966</v>
      </c>
      <c r="B167">
        <v>195.18858337402341</v>
      </c>
      <c r="C167">
        <v>187.8999938964844</v>
      </c>
      <c r="D167">
        <f t="shared" si="6"/>
        <v>1.0387897270585029</v>
      </c>
      <c r="E167">
        <f t="shared" si="7"/>
        <v>1</v>
      </c>
      <c r="F167">
        <f t="shared" si="8"/>
        <v>0</v>
      </c>
      <c r="G167" s="3">
        <f>E167*((B167-B166)/B166)+F167*((C167-C166)/C166)</f>
        <v>-1.7514626436203645E-2</v>
      </c>
      <c r="H167">
        <f>E167*(((B167-B166)/B166) - ((C167-C166)/C166))+F167*(((C167-C166)/C166)-((B167-B166)/B166))</f>
        <v>-2.6251878554677827E-3</v>
      </c>
    </row>
    <row r="168" spans="1:8" x14ac:dyDescent="0.45">
      <c r="A168" s="2">
        <v>45967</v>
      </c>
      <c r="B168">
        <v>188.0593566894531</v>
      </c>
      <c r="C168">
        <v>175.05000305175781</v>
      </c>
      <c r="D168">
        <f t="shared" si="6"/>
        <v>1.0743179286540701</v>
      </c>
      <c r="E168">
        <f t="shared" si="7"/>
        <v>1</v>
      </c>
      <c r="F168">
        <f t="shared" si="8"/>
        <v>0</v>
      </c>
      <c r="G168" s="3">
        <f>E168*((B168-B167)/B167)+F168*((C168-C167)/C167)</f>
        <v>-3.6524813907323553E-2</v>
      </c>
      <c r="H168">
        <f>E168*(((B168-B167)/B167) - ((C168-C167)/C167))+F168*(((C168-C167)/C167)-((B168-B167)/B167))</f>
        <v>3.1862579717637146E-2</v>
      </c>
    </row>
    <row r="169" spans="1:8" x14ac:dyDescent="0.45">
      <c r="A169" s="2">
        <v>45968</v>
      </c>
      <c r="B169">
        <v>188.12934875488281</v>
      </c>
      <c r="C169">
        <v>177.92999267578119</v>
      </c>
      <c r="D169">
        <f t="shared" si="6"/>
        <v>1.0573222980888139</v>
      </c>
      <c r="E169">
        <f t="shared" si="7"/>
        <v>1</v>
      </c>
      <c r="F169">
        <f t="shared" si="8"/>
        <v>0</v>
      </c>
      <c r="G169" s="3">
        <f>E169*((B169-B168)/B168)+F169*((C169-C168)/C168)</f>
        <v>3.7218071284427228E-4</v>
      </c>
      <c r="H169">
        <f>E169*(((B169-B168)/B168) - ((C169-C168)/C168))+F169*(((C169-C168)/C168)-((B169-B168)/B168))</f>
        <v>-1.608020188535449E-2</v>
      </c>
    </row>
    <row r="170" spans="1:8" x14ac:dyDescent="0.45">
      <c r="A170" s="2">
        <v>45971</v>
      </c>
      <c r="B170">
        <v>199.02815246582031</v>
      </c>
      <c r="C170">
        <v>193.61000061035159</v>
      </c>
      <c r="D170">
        <f t="shared" si="6"/>
        <v>1.0279848759794852</v>
      </c>
      <c r="E170">
        <f t="shared" si="7"/>
        <v>0</v>
      </c>
      <c r="F170">
        <f t="shared" si="8"/>
        <v>1</v>
      </c>
      <c r="G170" s="3">
        <f>E170*((B170-B169)/B169)+F170*((C170-C169)/C169)</f>
        <v>8.8124591581038553E-2</v>
      </c>
      <c r="H170">
        <f>E170*(((B170-B169)/B169) - ((C170-C169)/C169))+F170*(((C170-C169)/C169)-((B170-B169)/B169))</f>
        <v>3.0192090442485463E-2</v>
      </c>
    </row>
    <row r="171" spans="1:8" x14ac:dyDescent="0.45">
      <c r="A171" s="2">
        <v>45972</v>
      </c>
      <c r="B171">
        <v>193.1387939453125</v>
      </c>
      <c r="C171">
        <v>190.96000671386719</v>
      </c>
      <c r="D171">
        <f t="shared" si="6"/>
        <v>1.011409652046724</v>
      </c>
      <c r="E171">
        <f t="shared" si="7"/>
        <v>0</v>
      </c>
      <c r="F171">
        <f t="shared" si="8"/>
        <v>1</v>
      </c>
      <c r="G171" s="3">
        <f>E171*((B171-B170)/B170)+F171*((C171-C170)/C170)</f>
        <v>-1.3687277971852443E-2</v>
      </c>
      <c r="H171">
        <f>E171*(((B171-B170)/B170) - ((C171-C170)/C170))+F171*(((C171-C170)/C170)-((B171-B170)/B170))</f>
        <v>1.5903302293013399E-2</v>
      </c>
    </row>
    <row r="172" spans="1:8" x14ac:dyDescent="0.45">
      <c r="A172" s="2">
        <v>45973</v>
      </c>
      <c r="B172">
        <v>193.77873229980469</v>
      </c>
      <c r="C172">
        <v>184.16999816894531</v>
      </c>
      <c r="D172">
        <f t="shared" si="6"/>
        <v>1.052173178185325</v>
      </c>
      <c r="E172">
        <f t="shared" si="7"/>
        <v>1</v>
      </c>
      <c r="F172">
        <f t="shared" si="8"/>
        <v>0</v>
      </c>
      <c r="G172" s="3">
        <f>E172*((B172-B171)/B171)+F172*((C172-C171)/C171)</f>
        <v>3.313360000960692E-3</v>
      </c>
      <c r="H172">
        <f>E172*(((B172-B171)/B171) - ((C172-C171)/C171))+F172*(((C172-C171)/C171)-((B172-B171)/B171))</f>
        <v>3.8870588248737015E-2</v>
      </c>
    </row>
    <row r="173" spans="1:8" x14ac:dyDescent="0.45">
      <c r="A173" s="2">
        <v>45974</v>
      </c>
      <c r="B173">
        <v>186.8394775390625</v>
      </c>
      <c r="C173">
        <v>172.13999938964841</v>
      </c>
      <c r="D173">
        <f t="shared" si="6"/>
        <v>1.0853925769811408</v>
      </c>
      <c r="E173">
        <f t="shared" si="7"/>
        <v>1</v>
      </c>
      <c r="F173">
        <f t="shared" si="8"/>
        <v>0</v>
      </c>
      <c r="G173" s="3">
        <f>E173*((B173-B172)/B172)+F173*((C173-C172)/C172)</f>
        <v>-3.5810197942703653E-2</v>
      </c>
      <c r="H173">
        <f>E173*(((B173-B172)/B172) - ((C173-C172)/C172))+F173*(((C173-C172)/C172)-((B173-B172)/B172))</f>
        <v>2.9509880782938633E-2</v>
      </c>
    </row>
    <row r="174" spans="1:8" x14ac:dyDescent="0.45">
      <c r="A174" s="2">
        <v>45975</v>
      </c>
      <c r="B174">
        <v>190.14910888671881</v>
      </c>
      <c r="C174">
        <v>174.00999450683591</v>
      </c>
      <c r="D174">
        <f t="shared" si="6"/>
        <v>1.092748203490397</v>
      </c>
      <c r="E174">
        <f t="shared" si="7"/>
        <v>1</v>
      </c>
      <c r="F174">
        <f t="shared" si="8"/>
        <v>0</v>
      </c>
      <c r="G174" s="3">
        <f>E174*((B174-B173)/B173)+F174*((C174-C173)/C173)</f>
        <v>1.7713769013105715E-2</v>
      </c>
      <c r="H174">
        <f>E174*(((B174-B173)/B173) - ((C174-C173)/C173))+F174*(((C174-C173)/C173)-((B174-B173)/B173))</f>
        <v>6.8505464976073693E-3</v>
      </c>
    </row>
    <row r="175" spans="1:8" x14ac:dyDescent="0.45">
      <c r="A175" s="2">
        <v>45978</v>
      </c>
      <c r="B175">
        <v>186.57951354980469</v>
      </c>
      <c r="C175">
        <v>171.25</v>
      </c>
      <c r="D175">
        <f t="shared" si="6"/>
        <v>1.0895154075901003</v>
      </c>
      <c r="E175">
        <f t="shared" si="7"/>
        <v>1</v>
      </c>
      <c r="F175">
        <f t="shared" si="8"/>
        <v>0</v>
      </c>
      <c r="G175" s="3">
        <f>E175*((B175-B174)/B174)+F175*((C175-C174)/C174)</f>
        <v>-1.8772611440638954E-2</v>
      </c>
      <c r="H175">
        <f>E175*(((B175-B174)/B174) - ((C175-C174)/C174))+F175*(((C175-C174)/C174)-((B175-B174)/B174))</f>
        <v>-2.9114851032808788E-3</v>
      </c>
    </row>
    <row r="176" spans="1:8" x14ac:dyDescent="0.45">
      <c r="A176" s="2">
        <v>45979</v>
      </c>
      <c r="B176">
        <v>181.340087890625</v>
      </c>
      <c r="C176">
        <v>167.33000183105469</v>
      </c>
      <c r="D176">
        <f t="shared" si="6"/>
        <v>1.0837272808597447</v>
      </c>
      <c r="E176">
        <f t="shared" si="7"/>
        <v>1</v>
      </c>
      <c r="F176">
        <f t="shared" si="8"/>
        <v>0</v>
      </c>
      <c r="G176" s="3">
        <f>E176*((B176-B175)/B175)+F176*((C176-C175)/C175)</f>
        <v>-2.8081462747415187E-2</v>
      </c>
      <c r="H176">
        <f>E176*(((B176-B175)/B175) - ((C176-C175)/C175))+F176*(((C176-C175)/C175)-((B176-B175)/B175))</f>
        <v>-5.1909624908002237E-3</v>
      </c>
    </row>
    <row r="177" spans="1:8" x14ac:dyDescent="0.45">
      <c r="A177" s="2">
        <v>45980</v>
      </c>
      <c r="B177">
        <v>186.49952697753909</v>
      </c>
      <c r="C177">
        <v>165.41999816894531</v>
      </c>
      <c r="D177">
        <f t="shared" si="6"/>
        <v>1.1274303532941949</v>
      </c>
      <c r="E177">
        <f t="shared" si="7"/>
        <v>1</v>
      </c>
      <c r="F177">
        <f t="shared" si="8"/>
        <v>0</v>
      </c>
      <c r="G177" s="3">
        <f>E177*((B177-B176)/B176)+F177*((C177-C176)/C176)</f>
        <v>2.845172927249268E-2</v>
      </c>
      <c r="H177">
        <f>E177*(((B177-B176)/B176) - ((C177-C176)/C176))+F177*(((C177-C176)/C176)-((B177-B176)/B176))</f>
        <v>3.986632104449192E-2</v>
      </c>
    </row>
    <row r="178" spans="1:8" x14ac:dyDescent="0.45">
      <c r="A178" s="2">
        <v>45981</v>
      </c>
      <c r="B178">
        <v>180.62016296386719</v>
      </c>
      <c r="C178">
        <v>155.7449951171875</v>
      </c>
      <c r="D178">
        <f t="shared" si="6"/>
        <v>1.1597172854765754</v>
      </c>
      <c r="E178">
        <f t="shared" si="7"/>
        <v>1</v>
      </c>
      <c r="F178">
        <f t="shared" si="8"/>
        <v>0</v>
      </c>
      <c r="G178" s="3">
        <f>E178*((B178-B177)/B177)+F178*((C178-C177)/C177)</f>
        <v>-3.1524819976513824E-2</v>
      </c>
      <c r="H178">
        <f>E178*(((B178-B177)/B177) - ((C178-C177)/C177))+F178*(((C178-C177)/C177)-((B178-B177)/B177))</f>
        <v>2.6962685517692639E-2</v>
      </c>
    </row>
    <row r="179" spans="1:8" x14ac:dyDescent="0.45">
      <c r="A179" s="2">
        <v>45982</v>
      </c>
      <c r="B179">
        <v>178.86036682128909</v>
      </c>
      <c r="C179">
        <v>154.8500061035156</v>
      </c>
      <c r="D179">
        <f t="shared" si="6"/>
        <v>1.1550556007193362</v>
      </c>
      <c r="E179">
        <f t="shared" si="7"/>
        <v>1</v>
      </c>
      <c r="F179">
        <f t="shared" si="8"/>
        <v>0</v>
      </c>
      <c r="G179" s="3">
        <f>E179*((B179-B178)/B178)+F179*((C179-C178)/C178)</f>
        <v>-9.7430769284055033E-3</v>
      </c>
      <c r="H179">
        <f>E179*(((B179-B178)/B178) - ((C179-C178)/C178))+F179*(((C179-C178)/C178)-((B179-B178)/B178))</f>
        <v>-3.9965743650423264E-3</v>
      </c>
    </row>
    <row r="180" spans="1:8" x14ac:dyDescent="0.45">
      <c r="A180" s="2">
        <v>45985</v>
      </c>
      <c r="B180">
        <v>182.52996826171881</v>
      </c>
      <c r="C180">
        <v>162.25</v>
      </c>
      <c r="D180">
        <f t="shared" si="6"/>
        <v>1.1249921002263101</v>
      </c>
      <c r="E180">
        <f t="shared" si="7"/>
        <v>1</v>
      </c>
      <c r="F180">
        <f t="shared" si="8"/>
        <v>0</v>
      </c>
      <c r="G180" s="3">
        <f>E180*((B180-B179)/B179)+F180*((C180-C179)/C179)</f>
        <v>2.051657114231601E-2</v>
      </c>
      <c r="H180">
        <f>E180*(((B180-B179)/B179) - ((C180-C179)/C179))+F180*(((C180-C179)/C179)-((B180-B179)/B179))</f>
        <v>-2.727156967013953E-2</v>
      </c>
    </row>
    <row r="181" spans="1:8" x14ac:dyDescent="0.45">
      <c r="A181" s="2">
        <v>45986</v>
      </c>
      <c r="B181">
        <v>177.80047607421881</v>
      </c>
      <c r="C181">
        <v>163.55000305175781</v>
      </c>
      <c r="D181">
        <f t="shared" si="6"/>
        <v>1.0871322088447239</v>
      </c>
      <c r="E181">
        <f t="shared" si="7"/>
        <v>0</v>
      </c>
      <c r="F181">
        <f t="shared" si="8"/>
        <v>1</v>
      </c>
      <c r="G181" s="3">
        <f>E181*((B181-B180)/B180)+F181*((C181-C180)/C180)</f>
        <v>8.01234546537943E-3</v>
      </c>
      <c r="H181">
        <f>E181*(((B181-B180)/B180) - ((C181-C180)/C180))+F181*(((C181-C180)/C180)-((B181-B180)/B180))</f>
        <v>3.3923116351608176E-2</v>
      </c>
    </row>
    <row r="182" spans="1:8" x14ac:dyDescent="0.45">
      <c r="A182" s="2">
        <v>45987</v>
      </c>
      <c r="B182">
        <v>180.2402038574219</v>
      </c>
      <c r="C182">
        <v>165.77000427246091</v>
      </c>
      <c r="D182">
        <f t="shared" si="6"/>
        <v>1.0872908198830571</v>
      </c>
      <c r="E182">
        <f t="shared" si="7"/>
        <v>0</v>
      </c>
      <c r="F182">
        <f t="shared" si="8"/>
        <v>1</v>
      </c>
      <c r="G182" s="3">
        <f>E182*((B182-B181)/B181)+F182*((C182-C181)/C181)</f>
        <v>1.3573837843344733E-2</v>
      </c>
      <c r="H182">
        <f>E182*(((B182-B181)/B181) - ((C182-C181)/C181))+F182*(((C182-C181)/C181)-((B182-B181)/B181))</f>
        <v>-1.4787897694481036E-4</v>
      </c>
    </row>
    <row r="183" spans="1:8" x14ac:dyDescent="0.45">
      <c r="A183" s="2">
        <v>45989</v>
      </c>
      <c r="B183">
        <v>176.9805603027344</v>
      </c>
      <c r="C183">
        <v>168.44999694824219</v>
      </c>
      <c r="D183">
        <f t="shared" si="6"/>
        <v>1.050641516824208</v>
      </c>
      <c r="E183">
        <f t="shared" si="7"/>
        <v>0</v>
      </c>
      <c r="F183">
        <f t="shared" si="8"/>
        <v>1</v>
      </c>
      <c r="G183" s="3">
        <f>E183*((B183-B182)/B182)+F183*((C183-C182)/C182)</f>
        <v>1.6166933743793726E-2</v>
      </c>
      <c r="H183">
        <f>E183*(((B183-B182)/B182) - ((C183-C182)/C182))+F183*(((C183-C182)/C182)-((B183-B182)/B182))</f>
        <v>3.4251930791766576E-2</v>
      </c>
    </row>
    <row r="184" spans="1:8" x14ac:dyDescent="0.45">
      <c r="A184" s="2">
        <v>45992</v>
      </c>
      <c r="B184">
        <v>179.90025329589841</v>
      </c>
      <c r="C184">
        <v>167.49000549316409</v>
      </c>
      <c r="D184">
        <f t="shared" si="6"/>
        <v>1.0740954528372788</v>
      </c>
      <c r="E184">
        <f t="shared" si="7"/>
        <v>0</v>
      </c>
      <c r="F184">
        <f t="shared" si="8"/>
        <v>1</v>
      </c>
      <c r="G184" s="3">
        <f>E184*((B184-B183)/B183)+F184*((C184-C183)/C183)</f>
        <v>-5.6989698573462295E-3</v>
      </c>
      <c r="H184">
        <f>E184*(((B184-B183)/B183) - ((C184-C183)/C183))+F184*(((C184-C183)/C183)-((B184-B183)/B183))</f>
        <v>-2.2196222370106499E-2</v>
      </c>
    </row>
    <row r="185" spans="1:8" x14ac:dyDescent="0.45">
      <c r="A185" s="2">
        <v>45993</v>
      </c>
      <c r="B185">
        <v>181.44007873535159</v>
      </c>
      <c r="C185">
        <v>170.69000244140619</v>
      </c>
      <c r="D185">
        <f t="shared" si="6"/>
        <v>1.062980116821052</v>
      </c>
      <c r="E185">
        <f t="shared" si="7"/>
        <v>0</v>
      </c>
      <c r="F185">
        <f t="shared" si="8"/>
        <v>1</v>
      </c>
      <c r="G185" s="3">
        <f>E185*((B185-B184)/B184)+F185*((C185-C184)/C184)</f>
        <v>1.9105599398721772E-2</v>
      </c>
      <c r="H185">
        <f>E185*(((B185-B184)/B184) - ((C185-C184)/C184))+F185*(((C185-C184)/C184)-((B185-B184)/B184))</f>
        <v>1.0546270485935361E-2</v>
      </c>
    </row>
    <row r="186" spans="1:8" x14ac:dyDescent="0.45">
      <c r="A186" s="2">
        <v>45994</v>
      </c>
      <c r="B186">
        <v>179.5702819824219</v>
      </c>
      <c r="C186">
        <v>176.08000183105469</v>
      </c>
      <c r="D186">
        <f t="shared" si="6"/>
        <v>1.0198221269597445</v>
      </c>
      <c r="E186">
        <f t="shared" si="7"/>
        <v>0</v>
      </c>
      <c r="F186">
        <f t="shared" si="8"/>
        <v>1</v>
      </c>
      <c r="G186" s="3">
        <f>E186*((B186-B185)/B185)+F186*((C186-C185)/C185)</f>
        <v>3.157770995696571E-2</v>
      </c>
      <c r="H186">
        <f>E186*(((B186-B185)/B185) - ((C186-C185)/C185))+F186*(((C186-C185)/C185)-((B186-B185)/B185))</f>
        <v>4.1883022685896852E-2</v>
      </c>
    </row>
    <row r="187" spans="1:8" x14ac:dyDescent="0.45">
      <c r="A187" s="2">
        <v>45995</v>
      </c>
      <c r="B187">
        <v>183.3700866699219</v>
      </c>
      <c r="C187">
        <v>177.91999816894531</v>
      </c>
      <c r="D187">
        <f t="shared" si="6"/>
        <v>1.0306322423396239</v>
      </c>
      <c r="E187">
        <f t="shared" si="7"/>
        <v>0</v>
      </c>
      <c r="F187">
        <f t="shared" si="8"/>
        <v>1</v>
      </c>
      <c r="G187" s="3">
        <f>E187*((B187-B186)/B186)+F187*((C187-C186)/C186)</f>
        <v>1.0449774640825285E-2</v>
      </c>
      <c r="H187">
        <f>E187*(((B187-B186)/B186) - ((C187-C186)/C186))+F187*(((C187-C186)/C186)-((B187-B186)/B186))</f>
        <v>-1.0710768437633333E-2</v>
      </c>
    </row>
    <row r="188" spans="1:8" x14ac:dyDescent="0.45">
      <c r="A188" s="2">
        <v>45996</v>
      </c>
      <c r="B188">
        <v>182.40013122558591</v>
      </c>
      <c r="C188">
        <v>181.75999450683591</v>
      </c>
      <c r="D188">
        <f t="shared" si="6"/>
        <v>1.0035218790608289</v>
      </c>
      <c r="E188">
        <f t="shared" si="7"/>
        <v>0</v>
      </c>
      <c r="F188">
        <f t="shared" si="8"/>
        <v>1</v>
      </c>
      <c r="G188" s="3">
        <f>E188*((B188-B187)/B187)+F188*((C188-C187)/C187)</f>
        <v>2.158271345216797E-2</v>
      </c>
      <c r="H188">
        <f>E188*(((B188-B187)/B187) - ((C188-C187)/C187))+F188*(((C188-C187)/C187)-((B188-B187)/B187))</f>
        <v>2.6872319090420066E-2</v>
      </c>
    </row>
    <row r="189" spans="1:8" x14ac:dyDescent="0.45">
      <c r="A189" s="2">
        <v>45999</v>
      </c>
      <c r="B189">
        <v>185.53996276855469</v>
      </c>
      <c r="C189">
        <v>181.49000549316409</v>
      </c>
      <c r="D189">
        <f t="shared" si="6"/>
        <v>1.0223150429930596</v>
      </c>
      <c r="E189">
        <f t="shared" si="7"/>
        <v>0</v>
      </c>
      <c r="F189">
        <f t="shared" si="8"/>
        <v>1</v>
      </c>
      <c r="G189" s="3">
        <f>E189*((B189-B188)/B188)+F189*((C189-C188)/C188)</f>
        <v>-1.4854149528578688E-3</v>
      </c>
      <c r="H189">
        <f>E189*(((B189-B188)/B188) - ((C189-C188)/C188))+F189*(((C189-C188)/C188)-((B189-B188)/B188))</f>
        <v>-1.869939129087677E-2</v>
      </c>
    </row>
    <row r="190" spans="1:8" x14ac:dyDescent="0.45">
      <c r="A190" s="2">
        <v>46000</v>
      </c>
      <c r="B190">
        <v>184.9599914550781</v>
      </c>
      <c r="C190">
        <v>181.8399963378906</v>
      </c>
      <c r="D190">
        <f t="shared" si="6"/>
        <v>1.0171579145403742</v>
      </c>
      <c r="E190">
        <f t="shared" si="7"/>
        <v>0</v>
      </c>
      <c r="F190">
        <f t="shared" si="8"/>
        <v>1</v>
      </c>
      <c r="G190" s="3">
        <f>E190*((B190-B189)/B189)+F190*((C190-C189)/C189)</f>
        <v>1.9284304046135931E-3</v>
      </c>
      <c r="H190">
        <f>E190*(((B190-B189)/B189) - ((C190-C189)/C189))+F190*(((C190-C189)/C189)-((B190-B189)/B189))</f>
        <v>5.0542869846327224E-3</v>
      </c>
    </row>
    <row r="191" spans="1:8" x14ac:dyDescent="0.45">
      <c r="A191" s="2">
        <v>46001</v>
      </c>
      <c r="B191">
        <v>183.7700500488281</v>
      </c>
      <c r="C191">
        <v>187.9100036621094</v>
      </c>
      <c r="D191">
        <f t="shared" si="6"/>
        <v>0.97796842353999647</v>
      </c>
      <c r="E191">
        <f t="shared" si="7"/>
        <v>0</v>
      </c>
      <c r="F191">
        <f t="shared" si="8"/>
        <v>1</v>
      </c>
      <c r="G191" s="3">
        <f>E191*((B191-B190)/B190)+F191*((C191-C190)/C190)</f>
        <v>3.3381035231323193E-2</v>
      </c>
      <c r="H191">
        <f>E191*(((B191-B190)/B190) - ((C191-C190)/C190))+F191*(((C191-C190)/C190)-((B191-B190)/B190))</f>
        <v>3.9814542266486556E-2</v>
      </c>
    </row>
    <row r="192" spans="1:8" x14ac:dyDescent="0.45">
      <c r="A192" s="2">
        <v>46002</v>
      </c>
      <c r="B192">
        <v>180.9201965332031</v>
      </c>
      <c r="C192">
        <v>187.53999328613281</v>
      </c>
      <c r="D192">
        <f t="shared" si="6"/>
        <v>0.96470194630523531</v>
      </c>
      <c r="E192">
        <f t="shared" si="7"/>
        <v>0</v>
      </c>
      <c r="F192">
        <f t="shared" si="8"/>
        <v>1</v>
      </c>
      <c r="G192" s="3">
        <f>E192*((B192-B191)/B191)+F192*((C192-C191)/C191)</f>
        <v>-1.9690829054632214E-3</v>
      </c>
      <c r="H192">
        <f>E192*(((B192-B191)/B191) - ((C192-C191)/C191))+F192*(((C192-C191)/C191)-((B192-B191)/B191))</f>
        <v>1.3538631843854135E-2</v>
      </c>
    </row>
    <row r="193" spans="1:8" x14ac:dyDescent="0.45">
      <c r="A193" s="2">
        <v>46003</v>
      </c>
      <c r="B193">
        <v>175.0105285644531</v>
      </c>
      <c r="C193">
        <v>183.57000732421881</v>
      </c>
      <c r="D193">
        <f t="shared" si="6"/>
        <v>0.95337212824397788</v>
      </c>
      <c r="E193">
        <f t="shared" si="7"/>
        <v>0</v>
      </c>
      <c r="F193">
        <f t="shared" si="8"/>
        <v>1</v>
      </c>
      <c r="G193" s="3">
        <f>E193*((B193-B192)/B192)+F193*((C193-C192)/C192)</f>
        <v>-2.116874322298249E-2</v>
      </c>
      <c r="H193">
        <f>E193*(((B193-B192)/B192) - ((C193-C192)/C192))+F193*(((C193-C192)/C192)-((B193-B192)/B192))</f>
        <v>1.1495757932726995E-2</v>
      </c>
    </row>
    <row r="194" spans="1:8" x14ac:dyDescent="0.45">
      <c r="A194" s="2">
        <v>46006</v>
      </c>
      <c r="B194">
        <v>176.28045654296881</v>
      </c>
      <c r="C194">
        <v>183.25</v>
      </c>
      <c r="D194">
        <f t="shared" si="6"/>
        <v>0.96196702069832907</v>
      </c>
      <c r="E194">
        <f t="shared" si="7"/>
        <v>0</v>
      </c>
      <c r="F194">
        <f t="shared" si="8"/>
        <v>1</v>
      </c>
      <c r="G194" s="3">
        <f>E194*((B194-B193)/B193)+F194*((C194-C193)/C193)</f>
        <v>-1.743244056495647E-3</v>
      </c>
      <c r="H194">
        <f>E194*(((B194-B193)/B193) - ((C194-C193)/C193))+F194*(((C194-C193)/C193)-((B194-B193)/B193))</f>
        <v>-8.999538800203136E-3</v>
      </c>
    </row>
    <row r="195" spans="1:8" x14ac:dyDescent="0.45">
      <c r="A195" s="2">
        <v>46007</v>
      </c>
      <c r="B195">
        <v>177.71038818359381</v>
      </c>
      <c r="C195">
        <v>187.75</v>
      </c>
      <c r="D195">
        <f t="shared" ref="D195:D253" si="9">B195/C195</f>
        <v>0.94652670137733053</v>
      </c>
      <c r="E195">
        <f t="shared" si="7"/>
        <v>0</v>
      </c>
      <c r="F195">
        <f t="shared" si="8"/>
        <v>1</v>
      </c>
      <c r="G195" s="3">
        <f>E195*((B195-B194)/B194)+F195*((C195-C194)/C194)</f>
        <v>2.4556616643929059E-2</v>
      </c>
      <c r="H195">
        <f>E195*(((B195-B194)/B194) - ((C195-C194)/C194))+F195*(((C195-C194)/C194)-((B195-B194)/B194))</f>
        <v>1.6444931045494892E-2</v>
      </c>
    </row>
    <row r="196" spans="1:8" x14ac:dyDescent="0.45">
      <c r="A196" s="2">
        <v>46008</v>
      </c>
      <c r="B196">
        <v>170.9307556152344</v>
      </c>
      <c r="C196">
        <v>177.28999328613281</v>
      </c>
      <c r="D196">
        <f t="shared" si="9"/>
        <v>0.96413087082340243</v>
      </c>
      <c r="E196">
        <f t="shared" si="7"/>
        <v>0</v>
      </c>
      <c r="F196">
        <f t="shared" si="8"/>
        <v>1</v>
      </c>
      <c r="G196" s="3">
        <f>E196*((B196-B195)/B195)+F196*((C196-C195)/C195)</f>
        <v>-5.571241924829394E-2</v>
      </c>
      <c r="H196">
        <f>E196*(((B196-B195)/B195) - ((C196-C195)/C195))+F196*(((C196-C195)/C195)-((B196-B195)/B195))</f>
        <v>-1.756252470552068E-2</v>
      </c>
    </row>
    <row r="197" spans="1:8" x14ac:dyDescent="0.45">
      <c r="A197" s="2">
        <v>46009</v>
      </c>
      <c r="B197">
        <v>174.13056945800781</v>
      </c>
      <c r="C197">
        <v>185.69000244140619</v>
      </c>
      <c r="D197">
        <f t="shared" si="9"/>
        <v>0.93774875959169679</v>
      </c>
      <c r="E197">
        <f t="shared" si="7"/>
        <v>0</v>
      </c>
      <c r="F197">
        <f t="shared" si="8"/>
        <v>1</v>
      </c>
      <c r="G197" s="3">
        <f>E197*((B197-B196)/B196)+F197*((C197-C196)/C196)</f>
        <v>4.7380052306259572E-2</v>
      </c>
      <c r="H197">
        <f>E197*(((B197-B196)/B196) - ((C197-C196)/C196))+F197*(((C197-C196)/C196)-((B197-B196)/B196))</f>
        <v>2.8660110238161549E-2</v>
      </c>
    </row>
    <row r="198" spans="1:8" x14ac:dyDescent="0.45">
      <c r="A198" s="2">
        <v>46010</v>
      </c>
      <c r="B198">
        <v>180.98020935058591</v>
      </c>
      <c r="C198">
        <v>193.3800048828125</v>
      </c>
      <c r="D198">
        <f t="shared" si="9"/>
        <v>0.93587860575481518</v>
      </c>
      <c r="E198">
        <f t="shared" si="7"/>
        <v>0</v>
      </c>
      <c r="F198">
        <f t="shared" si="8"/>
        <v>1</v>
      </c>
      <c r="G198" s="3">
        <f>E198*((B198-B197)/B197)+F198*((C198-C197)/C197)</f>
        <v>4.1413120471215779E-2</v>
      </c>
      <c r="H198">
        <f>E198*(((B198-B197)/B197) - ((C198-C197)/C197))+F198*(((C198-C197)/C197)-((B198-B197)/B197))</f>
        <v>2.0768918360139013E-3</v>
      </c>
    </row>
    <row r="199" spans="1:8" x14ac:dyDescent="0.45">
      <c r="A199" s="2">
        <v>46013</v>
      </c>
      <c r="B199">
        <v>183.6800537109375</v>
      </c>
      <c r="C199">
        <v>193.97999572753909</v>
      </c>
      <c r="D199">
        <f t="shared" si="9"/>
        <v>0.94690204019249125</v>
      </c>
      <c r="E199">
        <f t="shared" si="7"/>
        <v>0</v>
      </c>
      <c r="F199">
        <f t="shared" si="8"/>
        <v>1</v>
      </c>
      <c r="G199" s="3">
        <f>E199*((B199-B198)/B198)+F199*((C199-C198)/C198)</f>
        <v>3.1026519266569622E-3</v>
      </c>
      <c r="H199">
        <f>E199*(((B199-B198)/B198) - ((C199-C198)/C198))+F199*(((C199-C198)/C198)-((B199-B198)/B198))</f>
        <v>-1.1815246389625708E-2</v>
      </c>
    </row>
    <row r="200" spans="1:8" x14ac:dyDescent="0.45">
      <c r="A200" s="2">
        <v>46014</v>
      </c>
      <c r="B200">
        <v>189.19976806640619</v>
      </c>
      <c r="C200">
        <v>194.1300048828125</v>
      </c>
      <c r="D200">
        <f t="shared" si="9"/>
        <v>0.9746034271240942</v>
      </c>
      <c r="E200">
        <f t="shared" si="7"/>
        <v>1</v>
      </c>
      <c r="F200">
        <f t="shared" si="8"/>
        <v>0</v>
      </c>
      <c r="G200" s="3">
        <f>E200*((B200-B199)/B199)+F200*((C200-C199)/C199)</f>
        <v>3.0050700900573688E-2</v>
      </c>
      <c r="H200">
        <f>E200*(((B200-B199)/B199) - ((C200-C199)/C199))+F200*(((C200-C199)/C199)-((B200-B199)/B199))</f>
        <v>2.9277378091122196E-2</v>
      </c>
    </row>
    <row r="201" spans="1:8" x14ac:dyDescent="0.45">
      <c r="A201" s="2">
        <v>46015</v>
      </c>
      <c r="B201">
        <v>188.59979248046881</v>
      </c>
      <c r="C201">
        <v>194.16999816894531</v>
      </c>
      <c r="D201">
        <f t="shared" si="9"/>
        <v>0.9713127375958982</v>
      </c>
      <c r="E201">
        <f t="shared" si="7"/>
        <v>1</v>
      </c>
      <c r="F201">
        <f t="shared" si="8"/>
        <v>0</v>
      </c>
      <c r="G201" s="3">
        <f>E201*((B201-B200)/B200)+F201*((C201-C200)/C200)</f>
        <v>-3.1711222062746091E-3</v>
      </c>
      <c r="H201">
        <f>E201*(((B201-B200)/B200) - ((C201-C200)/C200))+F201*(((C201-C200)/C200)-((B201-B200)/B200))</f>
        <v>-3.3771351106525525E-3</v>
      </c>
    </row>
    <row r="202" spans="1:8" x14ac:dyDescent="0.45">
      <c r="A202" s="2">
        <v>46017</v>
      </c>
      <c r="B202">
        <v>190.5196838378906</v>
      </c>
      <c r="C202">
        <v>188.71000671386719</v>
      </c>
      <c r="D202">
        <f t="shared" si="9"/>
        <v>1.0095897252908657</v>
      </c>
      <c r="E202">
        <f t="shared" si="7"/>
        <v>1</v>
      </c>
      <c r="F202">
        <f t="shared" si="8"/>
        <v>0</v>
      </c>
      <c r="G202" s="3">
        <f>E202*((B202-B201)/B201)+F202*((C202-C201)/C201)</f>
        <v>1.0179710869091288E-2</v>
      </c>
      <c r="H202">
        <f>E202*(((B202-B201)/B201) - ((C202-C201)/C201))+F202*(((C202-C201)/C201)-((B202-B201)/B201))</f>
        <v>3.8299356059217124E-2</v>
      </c>
    </row>
    <row r="203" spans="1:8" x14ac:dyDescent="0.45">
      <c r="A203" s="2">
        <v>46020</v>
      </c>
      <c r="B203">
        <v>188.2098083496094</v>
      </c>
      <c r="C203">
        <v>184.17999267578119</v>
      </c>
      <c r="D203">
        <f t="shared" si="9"/>
        <v>1.0218797688895669</v>
      </c>
      <c r="E203">
        <f t="shared" si="7"/>
        <v>1</v>
      </c>
      <c r="F203">
        <f t="shared" si="8"/>
        <v>0</v>
      </c>
      <c r="G203" s="3">
        <f>E203*((B203-B202)/B202)+F203*((C203-C202)/C202)</f>
        <v>-1.2124077899723055E-2</v>
      </c>
      <c r="H203">
        <f>E203*(((B203-B202)/B202) - ((C203-C202)/C202))+F203*(((C203-C202)/C202)-((B203-B202)/B202))</f>
        <v>1.1881082806750017E-2</v>
      </c>
    </row>
    <row r="204" spans="1:8" x14ac:dyDescent="0.45">
      <c r="A204" s="2">
        <v>46021</v>
      </c>
      <c r="B204">
        <v>187.52984619140619</v>
      </c>
      <c r="C204">
        <v>180.8399963378906</v>
      </c>
      <c r="D204">
        <f t="shared" si="9"/>
        <v>1.0369931983465424</v>
      </c>
      <c r="E204">
        <f t="shared" si="7"/>
        <v>1</v>
      </c>
      <c r="F204">
        <f t="shared" si="8"/>
        <v>0</v>
      </c>
      <c r="G204" s="3">
        <f>E204*((B204-B203)/B203)+F204*((C204-C203)/C203)</f>
        <v>-3.6127881121909735E-3</v>
      </c>
      <c r="H204">
        <f>E204*(((B204-B203)/B203) - ((C204-C203)/C203))+F204*(((C204-C203)/C203)-((B204-B203)/B203))</f>
        <v>1.4521626431793264E-2</v>
      </c>
    </row>
    <row r="205" spans="1:8" x14ac:dyDescent="0.45">
      <c r="A205" s="2">
        <v>46022</v>
      </c>
      <c r="B205">
        <v>186.48991394042969</v>
      </c>
      <c r="C205">
        <v>177.75</v>
      </c>
      <c r="D205">
        <f t="shared" si="9"/>
        <v>1.0491696986803358</v>
      </c>
      <c r="E205">
        <f t="shared" si="7"/>
        <v>1</v>
      </c>
      <c r="F205">
        <f t="shared" si="8"/>
        <v>0</v>
      </c>
      <c r="G205" s="3">
        <f>E205*((B205-B204)/B204)+F205*((C205-C204)/C204)</f>
        <v>-5.5454226199016738E-3</v>
      </c>
      <c r="H205">
        <f>E205*(((B205-B204)/B204) - ((C205-C204)/C204))+F205*(((C205-C204)/C204)-((B205-B204)/B204))</f>
        <v>1.1541485146437203E-2</v>
      </c>
    </row>
    <row r="206" spans="1:8" x14ac:dyDescent="0.45">
      <c r="A206" s="2">
        <v>46024</v>
      </c>
      <c r="B206">
        <v>188.83978271484381</v>
      </c>
      <c r="C206">
        <v>167.86000061035159</v>
      </c>
      <c r="D206">
        <f t="shared" si="9"/>
        <v>1.1249838081032297</v>
      </c>
      <c r="E206">
        <f t="shared" si="7"/>
        <v>1</v>
      </c>
      <c r="F206">
        <f t="shared" si="8"/>
        <v>0</v>
      </c>
      <c r="G206" s="3">
        <f>E206*((B206-B205)/B205)+F206*((C206-C205)/C205)</f>
        <v>1.2600514015812865E-2</v>
      </c>
      <c r="H206">
        <f>E206*(((B206-B205)/B205) - ((C206-C205)/C205))+F206*(((C206-C205)/C205)-((B206-B205)/B205))</f>
        <v>6.8240454323258204E-2</v>
      </c>
    </row>
    <row r="207" spans="1:8" x14ac:dyDescent="0.45">
      <c r="A207" s="2">
        <v>46027</v>
      </c>
      <c r="B207">
        <v>188.10981750488281</v>
      </c>
      <c r="C207">
        <v>174.03999328613281</v>
      </c>
      <c r="D207">
        <f t="shared" si="9"/>
        <v>1.0808424773702348</v>
      </c>
      <c r="E207">
        <f t="shared" si="7"/>
        <v>1</v>
      </c>
      <c r="F207">
        <f t="shared" si="8"/>
        <v>0</v>
      </c>
      <c r="G207" s="3">
        <f>E207*((B207-B206)/B206)+F207*((C207-C206)/C206)</f>
        <v>-3.8655266356839289E-3</v>
      </c>
      <c r="H207">
        <f>E207*(((B207-B206)/B206) - ((C207-C206)/C206))+F207*(((C207-C206)/C206)-((B207-B206)/B206))</f>
        <v>-4.0681877483475563E-2</v>
      </c>
    </row>
    <row r="208" spans="1:8" x14ac:dyDescent="0.45">
      <c r="A208" s="2">
        <v>46028</v>
      </c>
      <c r="B208">
        <v>187.22987365722659</v>
      </c>
      <c r="C208">
        <v>179.71000671386719</v>
      </c>
      <c r="D208">
        <f t="shared" si="9"/>
        <v>1.0418444530767419</v>
      </c>
      <c r="E208">
        <f t="shared" ref="E208:E253" si="10">IF(D208&gt;(AVERAGE(D195:D207)),1,0)</f>
        <v>1</v>
      </c>
      <c r="F208">
        <f t="shared" ref="F208:F253" si="11">IF(D208&lt;(AVERAGE(D195:D207)),1,0)</f>
        <v>0</v>
      </c>
      <c r="G208" s="3">
        <f>E208*((B208-B207)/B207)+F208*((C208-C207)/C207)</f>
        <v>-4.6778198997156576E-3</v>
      </c>
      <c r="H208">
        <f>E208*(((B208-B207)/B207) - ((C208-C207)/C207))+F208*(((C208-C207)/C207)-((B208-B207)/B207))</f>
        <v>-3.7256615845843465E-2</v>
      </c>
    </row>
    <row r="209" spans="1:8" x14ac:dyDescent="0.45">
      <c r="A209" s="2">
        <v>46029</v>
      </c>
      <c r="B209">
        <v>189.0997619628906</v>
      </c>
      <c r="C209">
        <v>181.67999267578119</v>
      </c>
      <c r="D209">
        <f t="shared" si="9"/>
        <v>1.0408397709501807</v>
      </c>
      <c r="E209">
        <f t="shared" si="10"/>
        <v>1</v>
      </c>
      <c r="F209">
        <f t="shared" si="11"/>
        <v>0</v>
      </c>
      <c r="G209" s="3">
        <f>E209*((B209-B208)/B208)+F209*((C209-C208)/C208)</f>
        <v>9.9871258209965289E-3</v>
      </c>
      <c r="H209">
        <f>E209*(((B209-B208)/B208) - ((C209-C208)/C208))+F209*(((C209-C208)/C208)-((B209-B208)/B208))</f>
        <v>-9.7490126885051154E-4</v>
      </c>
    </row>
    <row r="210" spans="1:8" x14ac:dyDescent="0.45">
      <c r="A210" s="2">
        <v>46030</v>
      </c>
      <c r="B210">
        <v>185.02998352050781</v>
      </c>
      <c r="C210">
        <v>176.86000061035159</v>
      </c>
      <c r="D210">
        <f t="shared" si="9"/>
        <v>1.0461946335065093</v>
      </c>
      <c r="E210">
        <f t="shared" si="10"/>
        <v>1</v>
      </c>
      <c r="F210">
        <f t="shared" si="11"/>
        <v>0</v>
      </c>
      <c r="G210" s="3">
        <f>E210*((B210-B209)/B209)+F210*((C210-C209)/C209)</f>
        <v>-2.1521859150628903E-2</v>
      </c>
      <c r="H210">
        <f>E210*(((B210-B209)/B209) - ((C210-C209)/C209))+F210*(((C210-C209)/C209)-((B210-B209)/B209))</f>
        <v>5.0082611693953623E-3</v>
      </c>
    </row>
    <row r="211" spans="1:8" x14ac:dyDescent="0.45">
      <c r="A211" s="2">
        <v>46031</v>
      </c>
      <c r="B211">
        <v>184.84999084472659</v>
      </c>
      <c r="C211">
        <v>177.49000549316409</v>
      </c>
      <c r="D211">
        <f t="shared" si="9"/>
        <v>1.0414670410940179</v>
      </c>
      <c r="E211">
        <f t="shared" si="10"/>
        <v>1</v>
      </c>
      <c r="F211">
        <f t="shared" si="11"/>
        <v>0</v>
      </c>
      <c r="G211" s="3">
        <f>E211*((B211-B210)/B210)+F211*((C211-C210)/C210)</f>
        <v>-9.7277572184008797E-4</v>
      </c>
      <c r="H211">
        <f>E211*(((B211-B210)/B210) - ((C211-C210)/C210))+F211*(((C211-C210)/C210)-((B211-B210)/B210))</f>
        <v>-4.5349428632984485E-3</v>
      </c>
    </row>
    <row r="212" spans="1:8" x14ac:dyDescent="0.45">
      <c r="A212" s="2">
        <v>46034</v>
      </c>
      <c r="B212">
        <v>184.92999267578119</v>
      </c>
      <c r="C212">
        <v>179.4100036621094</v>
      </c>
      <c r="D212">
        <f t="shared" si="9"/>
        <v>1.0307674538821583</v>
      </c>
      <c r="E212">
        <f t="shared" si="10"/>
        <v>1</v>
      </c>
      <c r="F212">
        <f t="shared" si="11"/>
        <v>0</v>
      </c>
      <c r="G212" s="3">
        <f>E212*((B212-B211)/B211)+F212*((C212-C211)/C211)</f>
        <v>4.3279326490096244E-4</v>
      </c>
      <c r="H212">
        <f>E212*(((B212-B211)/B211) - ((C212-C211)/C211))+F212*(((C212-C211)/C211)-((B212-B211)/B211))</f>
        <v>-1.038470692960582E-2</v>
      </c>
    </row>
    <row r="213" spans="1:8" x14ac:dyDescent="0.45">
      <c r="A213" s="2">
        <v>46035</v>
      </c>
      <c r="B213">
        <v>185.79994201660159</v>
      </c>
      <c r="C213">
        <v>178.96000671386719</v>
      </c>
      <c r="D213">
        <f t="shared" si="9"/>
        <v>1.0382204685188157</v>
      </c>
      <c r="E213">
        <f t="shared" si="10"/>
        <v>1</v>
      </c>
      <c r="F213">
        <f t="shared" si="11"/>
        <v>0</v>
      </c>
      <c r="G213" s="3">
        <f>E213*((B213-B212)/B212)+F213*((C213-C212)/C212)</f>
        <v>4.7042090265238413E-3</v>
      </c>
      <c r="H213">
        <f>E213*(((B213-B212)/B212) - ((C213-C212)/C212))+F213*(((C213-C212)/C212)-((B213-B212)/B212))</f>
        <v>7.2124133577032472E-3</v>
      </c>
    </row>
    <row r="214" spans="1:8" x14ac:dyDescent="0.45">
      <c r="A214" s="2">
        <v>46036</v>
      </c>
      <c r="B214">
        <v>183.13008117675781</v>
      </c>
      <c r="C214">
        <v>178.3999938964844</v>
      </c>
      <c r="D214">
        <f t="shared" si="9"/>
        <v>1.0265139430611081</v>
      </c>
      <c r="E214">
        <f t="shared" si="10"/>
        <v>0</v>
      </c>
      <c r="F214">
        <f t="shared" si="11"/>
        <v>1</v>
      </c>
      <c r="G214" s="3">
        <f>E214*((B214-B213)/B213)+F214*((C214-C213)/C213)</f>
        <v>-3.1292623847414621E-3</v>
      </c>
      <c r="H214">
        <f>E214*(((B214-B213)/B213) - ((C214-C213)/C213))+F214*(((C214-C213)/C213)-((B214-B213)/B213))</f>
        <v>1.124028375647973E-2</v>
      </c>
    </row>
    <row r="215" spans="1:8" x14ac:dyDescent="0.45">
      <c r="A215" s="2">
        <v>46037</v>
      </c>
      <c r="B215">
        <v>187.0398864746094</v>
      </c>
      <c r="C215">
        <v>177.07000732421881</v>
      </c>
      <c r="D215">
        <f t="shared" si="9"/>
        <v>1.0563047311120033</v>
      </c>
      <c r="E215">
        <f t="shared" si="10"/>
        <v>1</v>
      </c>
      <c r="F215">
        <f t="shared" si="11"/>
        <v>0</v>
      </c>
      <c r="G215" s="3">
        <f>E215*((B215-B214)/B214)+F215*((C215-C214)/C214)</f>
        <v>2.1349880220267216E-2</v>
      </c>
      <c r="H215">
        <f>E215*(((B215-B214)/B214) - ((C215-C214)/C214))+F215*(((C215-C214)/C214)-((B215-B214)/B214))</f>
        <v>2.8804962158427559E-2</v>
      </c>
    </row>
    <row r="216" spans="1:8" x14ac:dyDescent="0.45">
      <c r="A216" s="2">
        <v>46038</v>
      </c>
      <c r="B216">
        <v>186.21990966796881</v>
      </c>
      <c r="C216">
        <v>170.96000671386719</v>
      </c>
      <c r="D216">
        <f t="shared" si="9"/>
        <v>1.0892600746070504</v>
      </c>
      <c r="E216">
        <f t="shared" si="10"/>
        <v>1</v>
      </c>
      <c r="F216">
        <f t="shared" si="11"/>
        <v>0</v>
      </c>
      <c r="G216" s="3">
        <f>E216*((B216-B215)/B215)+F216*((C216-C215)/C215)</f>
        <v>-4.3839676236753283E-3</v>
      </c>
      <c r="H216">
        <f>E216*(((B216-B215)/B215) - ((C216-C215)/C215))+F216*(((C216-C215)/C215)-((B216-B215)/B215))</f>
        <v>3.0122161916174311E-2</v>
      </c>
    </row>
    <row r="217" spans="1:8" x14ac:dyDescent="0.45">
      <c r="A217" s="2">
        <v>46042</v>
      </c>
      <c r="B217">
        <v>178.06036376953119</v>
      </c>
      <c r="C217">
        <v>168.5299987792969</v>
      </c>
      <c r="D217">
        <f t="shared" si="9"/>
        <v>1.0565499617828578</v>
      </c>
      <c r="E217">
        <f t="shared" si="10"/>
        <v>1</v>
      </c>
      <c r="F217">
        <f t="shared" si="11"/>
        <v>0</v>
      </c>
      <c r="G217" s="3">
        <f>E217*((B217-B216)/B216)+F217*((C217-C216)/C216)</f>
        <v>-4.3816721385947034E-2</v>
      </c>
      <c r="H217">
        <f>E217*(((B217-B216)/B216) - ((C217-C216)/C216))+F217*(((C217-C216)/C216)-((B217-B216)/B216))</f>
        <v>-2.9602824339035085E-2</v>
      </c>
    </row>
    <row r="218" spans="1:8" x14ac:dyDescent="0.45">
      <c r="A218" s="2">
        <v>46043</v>
      </c>
      <c r="B218">
        <v>183.3100891113281</v>
      </c>
      <c r="C218">
        <v>165.33000183105469</v>
      </c>
      <c r="D218">
        <f t="shared" si="9"/>
        <v>1.1087527192955982</v>
      </c>
      <c r="E218">
        <f t="shared" si="10"/>
        <v>1</v>
      </c>
      <c r="F218">
        <f t="shared" si="11"/>
        <v>0</v>
      </c>
      <c r="G218" s="3">
        <f>E218*((B218-B217)/B217)+F218*((C218-C217)/C217)</f>
        <v>2.948284071008514E-2</v>
      </c>
      <c r="H218">
        <f>E218*(((B218-B217)/B217) - ((C218-C217)/C217))+F218*(((C218-C217)/C217)-((B218-B217)/B217))</f>
        <v>4.8470540059877817E-2</v>
      </c>
    </row>
    <row r="219" spans="1:8" x14ac:dyDescent="0.45">
      <c r="A219" s="2">
        <v>46044</v>
      </c>
      <c r="B219">
        <v>184.8299865722656</v>
      </c>
      <c r="C219">
        <v>165.8999938964844</v>
      </c>
      <c r="D219">
        <f t="shared" si="9"/>
        <v>1.114104842508872</v>
      </c>
      <c r="E219">
        <f t="shared" si="10"/>
        <v>1</v>
      </c>
      <c r="F219">
        <f t="shared" si="11"/>
        <v>0</v>
      </c>
      <c r="G219" s="3">
        <f>E219*((B219-B218)/B218)+F219*((C219-C218)/C218)</f>
        <v>8.2914010260200909E-3</v>
      </c>
      <c r="H219">
        <f>E219*(((B219-B218)/B218) - ((C219-C218)/C218))+F219*(((C219-C218)/C218)-((B219-B218)/B218))</f>
        <v>4.8437989022859351E-3</v>
      </c>
    </row>
    <row r="220" spans="1:8" x14ac:dyDescent="0.45">
      <c r="A220" s="2">
        <v>46045</v>
      </c>
      <c r="B220">
        <v>187.65983581542969</v>
      </c>
      <c r="C220">
        <v>169.6000061035156</v>
      </c>
      <c r="D220">
        <f t="shared" si="9"/>
        <v>1.1064848411673478</v>
      </c>
      <c r="E220">
        <f t="shared" si="10"/>
        <v>1</v>
      </c>
      <c r="F220">
        <f t="shared" si="11"/>
        <v>0</v>
      </c>
      <c r="G220" s="3">
        <f>E220*((B220-B219)/B219)+F220*((C220-C219)/C219)</f>
        <v>1.5310552663258809E-2</v>
      </c>
      <c r="H220">
        <f>E220*(((B220-B219)/B219) - ((C220-C219)/C219))+F220*(((C220-C219)/C219)-((B220-B219)/B219))</f>
        <v>-6.992113660766899E-3</v>
      </c>
    </row>
    <row r="221" spans="1:8" x14ac:dyDescent="0.45">
      <c r="A221" s="2">
        <v>46048</v>
      </c>
      <c r="B221">
        <v>186.45991516113281</v>
      </c>
      <c r="C221">
        <v>167.4700012207031</v>
      </c>
      <c r="D221">
        <f t="shared" si="9"/>
        <v>1.1133929288947908</v>
      </c>
      <c r="E221">
        <f t="shared" si="10"/>
        <v>1</v>
      </c>
      <c r="F221">
        <f t="shared" si="11"/>
        <v>0</v>
      </c>
      <c r="G221" s="3">
        <f>E221*((B221-B220)/B220)+F221*((C221-C220)/C220)</f>
        <v>-6.394126101000327E-3</v>
      </c>
      <c r="H221">
        <f>E221*(((B221-B220)/B220) - ((C221-C220)/C220))+F221*(((C221-C220)/C220)-((B221-B220)/B220))</f>
        <v>6.1648645013493491E-3</v>
      </c>
    </row>
    <row r="222" spans="1:8" x14ac:dyDescent="0.45">
      <c r="A222" s="2">
        <v>46049</v>
      </c>
      <c r="B222">
        <v>188.5097961425781</v>
      </c>
      <c r="C222">
        <v>165.69999694824219</v>
      </c>
      <c r="D222">
        <f t="shared" si="9"/>
        <v>1.1376572095017041</v>
      </c>
      <c r="E222">
        <f t="shared" si="10"/>
        <v>1</v>
      </c>
      <c r="F222">
        <f t="shared" si="11"/>
        <v>0</v>
      </c>
      <c r="G222" s="3">
        <f>E222*((B222-B221)/B221)+F222*((C222-C221)/C221)</f>
        <v>1.0993681830616737E-2</v>
      </c>
      <c r="H222">
        <f>E222*(((B222-B221)/B221) - ((C222-C221)/C221))+F222*(((C222-C221)/C221)-((B222-B221)/B221))</f>
        <v>2.1562764409939584E-2</v>
      </c>
    </row>
    <row r="223" spans="1:8" x14ac:dyDescent="0.45">
      <c r="A223" s="2">
        <v>46050</v>
      </c>
      <c r="B223">
        <v>191.5096435546875</v>
      </c>
      <c r="C223">
        <v>157.3500061035156</v>
      </c>
      <c r="D223">
        <f t="shared" si="9"/>
        <v>1.2170933341349817</v>
      </c>
      <c r="E223">
        <f t="shared" si="10"/>
        <v>1</v>
      </c>
      <c r="F223">
        <f t="shared" si="11"/>
        <v>0</v>
      </c>
      <c r="G223" s="3">
        <f>E223*((B223-B222)/B222)+F223*((C223-C222)/C222)</f>
        <v>1.5913482871948412E-2</v>
      </c>
      <c r="H223">
        <f>E223*(((B223-B222)/B222) - ((C223-C222)/C222))+F223*(((C223-C222)/C222)-((B223-B222)/B222))</f>
        <v>6.630570374407542E-2</v>
      </c>
    </row>
    <row r="224" spans="1:8" x14ac:dyDescent="0.45">
      <c r="A224" s="2">
        <v>46051</v>
      </c>
      <c r="B224">
        <v>192.49957275390619</v>
      </c>
      <c r="C224">
        <v>151.86000061035159</v>
      </c>
      <c r="D224">
        <f t="shared" si="9"/>
        <v>1.2676120899527008</v>
      </c>
      <c r="E224">
        <f t="shared" si="10"/>
        <v>1</v>
      </c>
      <c r="F224">
        <f t="shared" si="11"/>
        <v>0</v>
      </c>
      <c r="G224" s="3">
        <f>E224*((B224-B223)/B223)+F224*((C224-C223)/C223)</f>
        <v>5.1690827722521921E-3</v>
      </c>
      <c r="H224">
        <f>E224*(((B224-B223)/B223) - ((C224-C223)/C223))+F224*(((C224-C223)/C223)-((B224-B223)/B223))</f>
        <v>4.0059488112003529E-2</v>
      </c>
    </row>
    <row r="225" spans="1:8" x14ac:dyDescent="0.45">
      <c r="A225" s="2">
        <v>46052</v>
      </c>
      <c r="B225">
        <v>191.1196594238281</v>
      </c>
      <c r="C225">
        <v>146.5899963378906</v>
      </c>
      <c r="D225">
        <f t="shared" si="9"/>
        <v>1.303770135741708</v>
      </c>
      <c r="E225">
        <f t="shared" si="10"/>
        <v>1</v>
      </c>
      <c r="F225">
        <f t="shared" si="11"/>
        <v>0</v>
      </c>
      <c r="G225" s="3">
        <f>E225*((B225-B224)/B224)+F225*((C225-C224)/C224)</f>
        <v>-7.1683968454423251E-3</v>
      </c>
      <c r="H225">
        <f>E225*(((B225-B224)/B224) - ((C225-C224)/C224))+F225*(((C225-C224)/C224)-((B225-B224)/B224))</f>
        <v>2.7534647085019525E-2</v>
      </c>
    </row>
    <row r="226" spans="1:8" x14ac:dyDescent="0.45">
      <c r="A226" s="2">
        <v>46055</v>
      </c>
      <c r="B226">
        <v>185.59996032714841</v>
      </c>
      <c r="C226">
        <v>147.75999450683591</v>
      </c>
      <c r="D226">
        <f t="shared" si="9"/>
        <v>1.2560907365123237</v>
      </c>
      <c r="E226">
        <f t="shared" si="10"/>
        <v>1</v>
      </c>
      <c r="F226">
        <f t="shared" si="11"/>
        <v>0</v>
      </c>
      <c r="G226" s="3">
        <f>E226*((B226-B225)/B225)+F226*((C226-C225)/C225)</f>
        <v>-2.8880854608678272E-2</v>
      </c>
      <c r="H226">
        <f>E226*(((B226-B225)/B225) - ((C226-C225)/C225))+F226*(((C226-C225)/C225)-((B226-B225)/B225))</f>
        <v>-3.6862287163246743E-2</v>
      </c>
    </row>
    <row r="227" spans="1:8" x14ac:dyDescent="0.45">
      <c r="A227" s="2">
        <v>46056</v>
      </c>
      <c r="B227">
        <v>180.3302307128906</v>
      </c>
      <c r="C227">
        <v>157.8800048828125</v>
      </c>
      <c r="D227">
        <f t="shared" si="9"/>
        <v>1.142198031009322</v>
      </c>
      <c r="E227">
        <f t="shared" si="10"/>
        <v>0</v>
      </c>
      <c r="F227">
        <f t="shared" si="11"/>
        <v>1</v>
      </c>
      <c r="G227" s="3">
        <f>E227*((B227-B226)/B226)+F227*((C227-C226)/C226)</f>
        <v>6.8489515106935142E-2</v>
      </c>
      <c r="H227">
        <f>E227*(((B227-B226)/B226) - ((C227-C226)/C226))+F227*(((C227-C226)/C226)-((B227-B226)/B226))</f>
        <v>9.6882460908050111E-2</v>
      </c>
    </row>
    <row r="228" spans="1:8" x14ac:dyDescent="0.45">
      <c r="A228" s="2">
        <v>46057</v>
      </c>
      <c r="B228">
        <v>174.1805725097656</v>
      </c>
      <c r="C228">
        <v>139.53999328613281</v>
      </c>
      <c r="D228">
        <f t="shared" si="9"/>
        <v>1.2482483939396556</v>
      </c>
      <c r="E228">
        <f t="shared" si="10"/>
        <v>1</v>
      </c>
      <c r="F228">
        <f t="shared" si="11"/>
        <v>0</v>
      </c>
      <c r="G228" s="3">
        <f>E228*((B228-B227)/B227)+F228*((C228-C227)/C227)</f>
        <v>-3.41022033788448E-2</v>
      </c>
      <c r="H228">
        <f>E228*(((B228-B227)/B227) - ((C228-C227)/C227))+F228*(((C228-C227)/C227)-((B228-B227)/B227))</f>
        <v>8.2062041804024835E-2</v>
      </c>
    </row>
    <row r="229" spans="1:8" x14ac:dyDescent="0.45">
      <c r="A229" s="2">
        <v>46058</v>
      </c>
      <c r="B229">
        <v>171.8706970214844</v>
      </c>
      <c r="C229">
        <v>130.00999450683591</v>
      </c>
      <c r="D229">
        <f t="shared" si="9"/>
        <v>1.3219806498218678</v>
      </c>
      <c r="E229">
        <f t="shared" si="10"/>
        <v>1</v>
      </c>
      <c r="F229">
        <f t="shared" si="11"/>
        <v>0</v>
      </c>
      <c r="G229" s="3">
        <f>E229*((B229-B228)/B228)+F229*((C229-C228)/C228)</f>
        <v>-1.3261384177340949E-2</v>
      </c>
      <c r="H229">
        <f>E229*(((B229-B228)/B228) - ((C229-C228)/C228))+F229*(((C229-C228)/C228)-((B229-B228)/B228))</f>
        <v>5.5034439513543337E-2</v>
      </c>
    </row>
    <row r="230" spans="1:8" x14ac:dyDescent="0.45">
      <c r="A230" s="2">
        <v>46059</v>
      </c>
      <c r="B230">
        <v>185.39996337890619</v>
      </c>
      <c r="C230">
        <v>135.8999938964844</v>
      </c>
      <c r="D230">
        <f t="shared" si="9"/>
        <v>1.3642382023955506</v>
      </c>
      <c r="E230">
        <f t="shared" si="10"/>
        <v>1</v>
      </c>
      <c r="F230">
        <f t="shared" si="11"/>
        <v>0</v>
      </c>
      <c r="G230" s="3">
        <f>E230*((B230-B229)/B229)+F230*((C230-C229)/C229)</f>
        <v>7.8717702272020157E-2</v>
      </c>
      <c r="H230">
        <f>E230*(((B230-B229)/B229) - ((C230-C229)/C229))+F230*(((C230-C229)/C229)-((B230-B229)/B229))</f>
        <v>3.3413497683819834E-2</v>
      </c>
    </row>
    <row r="231" spans="1:8" x14ac:dyDescent="0.45">
      <c r="A231" s="2">
        <v>46062</v>
      </c>
      <c r="B231">
        <v>190.02970886230469</v>
      </c>
      <c r="C231">
        <v>142.9100036621094</v>
      </c>
      <c r="D231">
        <f t="shared" si="9"/>
        <v>1.3297159330539463</v>
      </c>
      <c r="E231">
        <f t="shared" si="10"/>
        <v>1</v>
      </c>
      <c r="F231">
        <f t="shared" si="11"/>
        <v>0</v>
      </c>
      <c r="G231" s="3">
        <f>E231*((B231-B230)/B230)+F231*((C231-C230)/C230)</f>
        <v>2.4971663419029788E-2</v>
      </c>
      <c r="H231">
        <f>E231*(((B231-B230)/B230) - ((C231-C230)/C230))+F231*(((C231-C230)/C230)-((B231-B230)/B230))</f>
        <v>-2.6610456378301138E-2</v>
      </c>
    </row>
    <row r="232" spans="1:8" x14ac:dyDescent="0.45">
      <c r="A232" s="2">
        <v>46063</v>
      </c>
      <c r="B232">
        <v>188.52978515625</v>
      </c>
      <c r="C232">
        <v>139.50999450683591</v>
      </c>
      <c r="D232">
        <f t="shared" si="9"/>
        <v>1.3513711746796186</v>
      </c>
      <c r="E232">
        <f t="shared" si="10"/>
        <v>1</v>
      </c>
      <c r="F232">
        <f t="shared" si="11"/>
        <v>0</v>
      </c>
      <c r="G232" s="3">
        <f>E232*((B232-B231)/B231)+F232*((C232-C231)/C231)</f>
        <v>-7.8931011105296718E-3</v>
      </c>
      <c r="H232">
        <f>E232*(((B232-B231)/B231) - ((C232-C231)/C231))+F232*(((C232-C231)/C231)-((B232-B231)/B231))</f>
        <v>1.5898159600038483E-2</v>
      </c>
    </row>
    <row r="233" spans="1:8" x14ac:dyDescent="0.45">
      <c r="A233" s="2">
        <v>46064</v>
      </c>
      <c r="B233">
        <v>190.03971862792969</v>
      </c>
      <c r="C233">
        <v>135.67999267578119</v>
      </c>
      <c r="D233">
        <f t="shared" si="9"/>
        <v>1.400646586722964</v>
      </c>
      <c r="E233">
        <f t="shared" si="10"/>
        <v>1</v>
      </c>
      <c r="F233">
        <f t="shared" si="11"/>
        <v>0</v>
      </c>
      <c r="G233" s="3">
        <f>E233*((B233-B232)/B232)+F233*((C233-C232)/C232)</f>
        <v>8.008991631896693E-3</v>
      </c>
      <c r="H233">
        <f>E233*(((B233-B232)/B232) - ((C233-C232)/C232))+F233*(((C233-C232)/C232)-((B233-B232)/B232))</f>
        <v>3.5462234996959316E-2</v>
      </c>
    </row>
    <row r="234" spans="1:8" x14ac:dyDescent="0.45">
      <c r="A234" s="2">
        <v>46065</v>
      </c>
      <c r="B234">
        <v>186.92988586425781</v>
      </c>
      <c r="C234">
        <v>129.1300048828125</v>
      </c>
      <c r="D234">
        <f t="shared" si="9"/>
        <v>1.447609996095792</v>
      </c>
      <c r="E234">
        <f t="shared" si="10"/>
        <v>1</v>
      </c>
      <c r="F234">
        <f t="shared" si="11"/>
        <v>0</v>
      </c>
      <c r="G234" s="3">
        <f>E234*((B234-B233)/B233)+F234*((C234-C233)/C233)</f>
        <v>-1.6364120017250069E-2</v>
      </c>
      <c r="H234">
        <f>E234*(((B234-B233)/B233) - ((C234-C233)/C233))+F234*(((C234-C233)/C233)-((B234-B233)/B233))</f>
        <v>3.1911146393033746E-2</v>
      </c>
    </row>
    <row r="235" spans="1:8" x14ac:dyDescent="0.45">
      <c r="A235" s="2">
        <v>46066</v>
      </c>
      <c r="B235">
        <v>182.80010986328119</v>
      </c>
      <c r="C235">
        <v>131.4100036621094</v>
      </c>
      <c r="D235">
        <f t="shared" si="9"/>
        <v>1.3910669261779312</v>
      </c>
      <c r="E235">
        <f t="shared" si="10"/>
        <v>1</v>
      </c>
      <c r="F235">
        <f t="shared" si="11"/>
        <v>0</v>
      </c>
      <c r="G235" s="3">
        <f>E235*((B235-B234)/B234)+F235*((C235-C234)/C234)</f>
        <v>-2.2092647100718413E-2</v>
      </c>
      <c r="H235">
        <f>E235*(((B235-B234)/B234) - ((C235-C234)/C234))+F235*(((C235-C234)/C234)-((B235-B234)/B234))</f>
        <v>-3.9749262086259826E-2</v>
      </c>
    </row>
    <row r="236" spans="1:8" x14ac:dyDescent="0.45">
      <c r="A236" s="2">
        <v>46070</v>
      </c>
      <c r="B236">
        <v>184.9599914550781</v>
      </c>
      <c r="C236">
        <v>133.02000427246091</v>
      </c>
      <c r="D236">
        <f t="shared" si="9"/>
        <v>1.3904674899591047</v>
      </c>
      <c r="E236">
        <f t="shared" si="10"/>
        <v>1</v>
      </c>
      <c r="F236">
        <f t="shared" si="11"/>
        <v>0</v>
      </c>
      <c r="G236" s="3">
        <f>E236*((B236-B235)/B235)+F236*((C236-C235)/C235)</f>
        <v>1.1815537711724078E-2</v>
      </c>
      <c r="H236">
        <f>E236*(((B236-B235)/B235) - ((C236-C235)/C235))+F236*(((C236-C235)/C235)-((B236-B235)/B235))</f>
        <v>-4.3619781437218355E-4</v>
      </c>
    </row>
    <row r="237" spans="1:8" x14ac:dyDescent="0.45">
      <c r="A237" s="2">
        <v>46071</v>
      </c>
      <c r="B237">
        <v>187.9698181152344</v>
      </c>
      <c r="C237">
        <v>135.3800048828125</v>
      </c>
      <c r="D237">
        <f t="shared" si="9"/>
        <v>1.3884607130716582</v>
      </c>
      <c r="E237">
        <f t="shared" si="10"/>
        <v>1</v>
      </c>
      <c r="F237">
        <f t="shared" si="11"/>
        <v>0</v>
      </c>
      <c r="G237" s="3">
        <f>E237*((B237-B236)/B236)+F237*((C237-C236)/C236)</f>
        <v>1.6272852504360731E-2</v>
      </c>
      <c r="H237">
        <f>E237*(((B237-B236)/B236) - ((C237-C236)/C236))+F237*(((C237-C236)/C236)-((B237-B236)/B236))</f>
        <v>-1.4688444927140262E-3</v>
      </c>
    </row>
    <row r="238" spans="1:8" x14ac:dyDescent="0.45">
      <c r="A238" s="2">
        <v>46072</v>
      </c>
      <c r="B238">
        <v>187.88983154296881</v>
      </c>
      <c r="C238">
        <v>134.88999938964841</v>
      </c>
      <c r="D238">
        <f t="shared" si="9"/>
        <v>1.3929115011723223</v>
      </c>
      <c r="E238">
        <f t="shared" si="10"/>
        <v>1</v>
      </c>
      <c r="F238">
        <f t="shared" si="11"/>
        <v>0</v>
      </c>
      <c r="G238" s="3">
        <f>E238*((B238-B237)/B237)+F238*((C238-C237)/C237)</f>
        <v>-4.2552880599459333E-4</v>
      </c>
      <c r="H238">
        <f>E238*(((B238-B237)/B237) - ((C238-C237)/C237))+F238*(((C238-C237)/C237)-((B238-B237)/B237))</f>
        <v>3.1939532112224174E-3</v>
      </c>
    </row>
    <row r="239" spans="1:8" x14ac:dyDescent="0.45">
      <c r="A239" s="2">
        <v>46073</v>
      </c>
      <c r="B239">
        <v>189.80973815917969</v>
      </c>
      <c r="C239">
        <v>135.24000549316409</v>
      </c>
      <c r="D239">
        <f t="shared" si="9"/>
        <v>1.4035028870859807</v>
      </c>
      <c r="E239">
        <f t="shared" si="10"/>
        <v>1</v>
      </c>
      <c r="F239">
        <f t="shared" si="11"/>
        <v>0</v>
      </c>
      <c r="G239" s="3">
        <f>E239*((B239-B238)/B238)+F239*((C239-C238)/C238)</f>
        <v>1.0218257158700013E-2</v>
      </c>
      <c r="H239">
        <f>E239*(((B239-B238)/B238) - ((C239-C238)/C238))+F239*(((C239-C238)/C238)-((B239-B238)/B238))</f>
        <v>7.6235051007313504E-3</v>
      </c>
    </row>
    <row r="240" spans="1:8" x14ac:dyDescent="0.45">
      <c r="A240" s="2">
        <v>46076</v>
      </c>
      <c r="B240">
        <v>191.5396423339844</v>
      </c>
      <c r="C240">
        <v>130.6000061035156</v>
      </c>
      <c r="D240">
        <f t="shared" si="9"/>
        <v>1.4666128130359128</v>
      </c>
      <c r="E240">
        <f t="shared" si="10"/>
        <v>1</v>
      </c>
      <c r="F240">
        <f t="shared" si="11"/>
        <v>0</v>
      </c>
      <c r="G240" s="3">
        <f>E240*((B240-B239)/B239)+F240*((C240-C239)/C239)</f>
        <v>9.1138852599542096E-3</v>
      </c>
      <c r="H240">
        <f>E240*(((B240-B239)/B239) - ((C240-C239)/C239))+F240*(((C240-C239)/C239)-((B240-B239)/B239))</f>
        <v>4.3423255277563605E-2</v>
      </c>
    </row>
    <row r="241" spans="1:8" x14ac:dyDescent="0.45">
      <c r="A241" s="2">
        <v>46077</v>
      </c>
      <c r="B241">
        <v>192.8395690917969</v>
      </c>
      <c r="C241">
        <v>128.8399963378906</v>
      </c>
      <c r="D241">
        <f t="shared" si="9"/>
        <v>1.4967368408336772</v>
      </c>
      <c r="E241">
        <f t="shared" si="10"/>
        <v>1</v>
      </c>
      <c r="F241">
        <f t="shared" si="11"/>
        <v>0</v>
      </c>
      <c r="G241" s="3">
        <f>E241*((B241-B240)/B240)+F241*((C241-C240)/C240)</f>
        <v>6.7867243666762198E-3</v>
      </c>
      <c r="H241">
        <f>E241*(((B241-B240)/B240) - ((C241-C240)/C240))+F241*(((C241-C240)/C240)-((B241-B240)/B240))</f>
        <v>2.0263061911637657E-2</v>
      </c>
    </row>
    <row r="242" spans="1:8" x14ac:dyDescent="0.45">
      <c r="A242" s="2">
        <v>46078</v>
      </c>
      <c r="B242">
        <v>195.5494079589844</v>
      </c>
      <c r="C242">
        <v>134.19000244140619</v>
      </c>
      <c r="D242">
        <f t="shared" si="9"/>
        <v>1.4572576525912999</v>
      </c>
      <c r="E242">
        <f t="shared" si="10"/>
        <v>1</v>
      </c>
      <c r="F242">
        <f t="shared" si="11"/>
        <v>0</v>
      </c>
      <c r="G242" s="3">
        <f>E242*((B242-B241)/B241)+F242*((C242-C241)/C241)</f>
        <v>1.4052296839024477E-2</v>
      </c>
      <c r="H242">
        <f>E242*(((B242-B241)/B241) - ((C242-C241)/C241))+F242*(((C242-C241)/C241)-((B242-B241)/B241))</f>
        <v>-2.7472123027341287E-2</v>
      </c>
    </row>
    <row r="243" spans="1:8" x14ac:dyDescent="0.45">
      <c r="A243" s="2">
        <v>46079</v>
      </c>
      <c r="B243">
        <v>184.87998962402341</v>
      </c>
      <c r="C243">
        <v>135.94000244140619</v>
      </c>
      <c r="D243">
        <f t="shared" si="9"/>
        <v>1.3600116691458179</v>
      </c>
      <c r="E243">
        <f t="shared" si="10"/>
        <v>0</v>
      </c>
      <c r="F243">
        <f t="shared" si="11"/>
        <v>1</v>
      </c>
      <c r="G243" s="3">
        <f>E243*((B243-B242)/B242)+F243*((C243-C242)/C242)</f>
        <v>1.3041209987041577E-2</v>
      </c>
      <c r="H243">
        <f>E243*(((B243-B242)/B242) - ((C243-C242)/C242))+F243*(((C243-C242)/C242)-((B243-B242)/B242))</f>
        <v>6.7602450781996351E-2</v>
      </c>
    </row>
    <row r="244" spans="1:8" x14ac:dyDescent="0.45">
      <c r="A244" s="2">
        <v>46080</v>
      </c>
      <c r="B244">
        <v>177.180419921875</v>
      </c>
      <c r="C244">
        <v>137.19000244140619</v>
      </c>
      <c r="D244">
        <f t="shared" si="9"/>
        <v>1.2914965869874424</v>
      </c>
      <c r="E244">
        <f t="shared" si="10"/>
        <v>0</v>
      </c>
      <c r="F244">
        <f t="shared" si="11"/>
        <v>1</v>
      </c>
      <c r="G244" s="3">
        <f>E244*((B244-B243)/B243)+F244*((C244-C243)/C243)</f>
        <v>9.1952330259724956E-3</v>
      </c>
      <c r="H244">
        <f>E244*(((B244-B243)/B243) - ((C244-C243)/C243))+F244*(((C244-C243)/C243)-((B244-B243)/B243))</f>
        <v>5.0841544872951977E-2</v>
      </c>
    </row>
    <row r="245" spans="1:8" x14ac:dyDescent="0.45">
      <c r="A245" s="2">
        <v>46083</v>
      </c>
      <c r="B245">
        <v>182.4701232910156</v>
      </c>
      <c r="C245">
        <v>145.16999816894531</v>
      </c>
      <c r="D245">
        <f t="shared" si="9"/>
        <v>1.2569410042883744</v>
      </c>
      <c r="E245">
        <f t="shared" si="10"/>
        <v>0</v>
      </c>
      <c r="F245">
        <f t="shared" si="11"/>
        <v>1</v>
      </c>
      <c r="G245" s="3">
        <f>E245*((B245-B244)/B244)+F245*((C245-C244)/C244)</f>
        <v>5.8167472742391507E-2</v>
      </c>
      <c r="H245">
        <f>E245*(((B245-B244)/B244) - ((C245-C244)/C244))+F245*(((C245-C244)/C244)-((B245-B244)/B244))</f>
        <v>2.8312574715436776E-2</v>
      </c>
    </row>
    <row r="246" spans="1:8" x14ac:dyDescent="0.45">
      <c r="A246" s="2">
        <v>46084</v>
      </c>
      <c r="B246">
        <v>180.0402526855469</v>
      </c>
      <c r="C246">
        <v>147.2200012207031</v>
      </c>
      <c r="D246">
        <f t="shared" si="9"/>
        <v>1.2229333731334624</v>
      </c>
      <c r="E246">
        <f t="shared" si="10"/>
        <v>0</v>
      </c>
      <c r="F246">
        <f t="shared" si="11"/>
        <v>1</v>
      </c>
      <c r="G246" s="3">
        <f>E246*((B246-B245)/B245)+F246*((C246-C245)/C245)</f>
        <v>1.4121396139800459E-2</v>
      </c>
      <c r="H246">
        <f>E246*(((B246-B245)/B245) - ((C246-C245)/C245))+F246*(((C246-C245)/C245)-((B246-B245)/B245))</f>
        <v>2.7437935645796038E-2</v>
      </c>
    </row>
    <row r="247" spans="1:8" x14ac:dyDescent="0.45">
      <c r="A247" s="2">
        <v>46085</v>
      </c>
      <c r="B247">
        <v>183.03009033203119</v>
      </c>
      <c r="C247">
        <v>153.19000244140619</v>
      </c>
      <c r="D247">
        <f t="shared" si="9"/>
        <v>1.1947913533198002</v>
      </c>
      <c r="E247">
        <f t="shared" si="10"/>
        <v>0</v>
      </c>
      <c r="F247">
        <f t="shared" si="11"/>
        <v>1</v>
      </c>
      <c r="G247" s="3">
        <f>E247*((B247-B246)/B246)+F247*((C247-C246)/C246)</f>
        <v>4.0551563450629519E-2</v>
      </c>
      <c r="H247">
        <f>E247*(((B247-B246)/B246) - ((C247-C246)/C246))+F247*(((C247-C246)/C246)-((B247-B246)/B246))</f>
        <v>2.3945067948169557E-2</v>
      </c>
    </row>
    <row r="248" spans="1:8" x14ac:dyDescent="0.45">
      <c r="A248" s="2">
        <v>46086</v>
      </c>
      <c r="B248">
        <v>183.330078125</v>
      </c>
      <c r="C248">
        <v>152.66999816894531</v>
      </c>
      <c r="D248">
        <f t="shared" si="9"/>
        <v>1.2008258356178541</v>
      </c>
      <c r="E248">
        <f t="shared" si="10"/>
        <v>0</v>
      </c>
      <c r="F248">
        <f t="shared" si="11"/>
        <v>1</v>
      </c>
      <c r="G248" s="3">
        <f>E248*((B248-B247)/B247)+F248*((C248-C247)/C247)</f>
        <v>-3.3945052821562401E-3</v>
      </c>
      <c r="H248">
        <f>E248*(((B248-B247)/B247) - ((C248-C247)/C247))+F248*(((C248-C247)/C247)-((B248-B247)/B247))</f>
        <v>-5.033513340473892E-3</v>
      </c>
    </row>
    <row r="249" spans="1:8" x14ac:dyDescent="0.45">
      <c r="A249" s="2">
        <v>46087</v>
      </c>
      <c r="B249">
        <v>177.81037902832031</v>
      </c>
      <c r="C249">
        <v>157.1600036621094</v>
      </c>
      <c r="D249">
        <f t="shared" si="9"/>
        <v>1.1313971423073315</v>
      </c>
      <c r="E249">
        <f t="shared" si="10"/>
        <v>0</v>
      </c>
      <c r="F249">
        <f t="shared" si="11"/>
        <v>1</v>
      </c>
      <c r="G249" s="3">
        <f>E249*((B249-B248)/B248)+F249*((C249-C248)/C248)</f>
        <v>2.940987454650671E-2</v>
      </c>
      <c r="H249">
        <f>E249*(((B249-B248)/B248) - ((C249-C248)/C248))+F249*(((C249-C248)/C248)-((B249-B248)/B248))</f>
        <v>5.9517858752547302E-2</v>
      </c>
    </row>
    <row r="250" spans="1:8" x14ac:dyDescent="0.45">
      <c r="A250" s="2">
        <v>46090</v>
      </c>
      <c r="B250">
        <v>182.6401062011719</v>
      </c>
      <c r="C250">
        <v>156.42999267578119</v>
      </c>
      <c r="D250">
        <f t="shared" si="9"/>
        <v>1.1675517148409904</v>
      </c>
      <c r="E250">
        <f t="shared" si="10"/>
        <v>0</v>
      </c>
      <c r="F250">
        <f t="shared" si="11"/>
        <v>1</v>
      </c>
      <c r="G250" s="3">
        <f>E250*((B250-B249)/B249)+F250*((C250-C249)/C249)</f>
        <v>-4.6450176210081923E-3</v>
      </c>
      <c r="H250">
        <f>E250*(((B250-B249)/B249) - ((C250-C249)/C249))+F250*(((C250-C249)/C249)-((B250-B249)/B249))</f>
        <v>-3.1807251902519665E-2</v>
      </c>
    </row>
    <row r="251" spans="1:8" x14ac:dyDescent="0.45">
      <c r="A251" s="2">
        <v>46091</v>
      </c>
      <c r="B251">
        <v>184.760009765625</v>
      </c>
      <c r="C251">
        <v>151.13999938964841</v>
      </c>
      <c r="D251">
        <f t="shared" si="9"/>
        <v>1.2224428378440184</v>
      </c>
      <c r="E251">
        <f t="shared" si="10"/>
        <v>0</v>
      </c>
      <c r="F251">
        <f t="shared" si="11"/>
        <v>1</v>
      </c>
      <c r="G251" s="3">
        <f>E251*((B251-B250)/B250)+F251*((C251-C250)/C250)</f>
        <v>-3.381700143077352E-2</v>
      </c>
      <c r="H251">
        <f>E251*(((B251-B250)/B250) - ((C251-C250)/C250))+F251*(((C251-C250)/C250)-((B251-B250)/B250))</f>
        <v>-4.5424000619210779E-2</v>
      </c>
    </row>
    <row r="252" spans="1:8" x14ac:dyDescent="0.45">
      <c r="A252" s="2">
        <v>46092</v>
      </c>
      <c r="B252">
        <v>186.0299987792969</v>
      </c>
      <c r="C252">
        <v>151.6000061035156</v>
      </c>
      <c r="D252">
        <f t="shared" si="9"/>
        <v>1.2271107604855358</v>
      </c>
      <c r="E252">
        <f t="shared" si="10"/>
        <v>0</v>
      </c>
      <c r="F252">
        <f t="shared" si="11"/>
        <v>1</v>
      </c>
      <c r="G252" s="3">
        <f>E252*((B252-B251)/B251)+F252*((C252-C251)/C251)</f>
        <v>3.0435802284295458E-3</v>
      </c>
      <c r="H252">
        <f>E252*(((B252-B251)/B251) - ((C252-C251)/C251))+F252*(((C252-C251)/C251)-((B252-B251)/B251))</f>
        <v>-3.830142149496998E-3</v>
      </c>
    </row>
    <row r="253" spans="1:8" x14ac:dyDescent="0.45">
      <c r="A253" s="2">
        <v>46093</v>
      </c>
      <c r="B253">
        <v>183.30999755859381</v>
      </c>
      <c r="C253">
        <v>152.44000244140619</v>
      </c>
      <c r="D253">
        <f t="shared" si="9"/>
        <v>1.2025058686879331</v>
      </c>
      <c r="E253">
        <f t="shared" si="10"/>
        <v>0</v>
      </c>
      <c r="F253">
        <f t="shared" si="11"/>
        <v>1</v>
      </c>
      <c r="G253" s="3">
        <f>E253*((B253-B252)/B252)+F253*((C253-C252)/C252)</f>
        <v>5.5408727181516723E-3</v>
      </c>
      <c r="H253">
        <f>E253*(((B253-B252)/B252) - ((C253-C252)/C252))+F253*(((C253-C252)/C252)-((B253-B252)/B252))</f>
        <v>2.0162177016121718E-2</v>
      </c>
    </row>
    <row r="254" spans="1:8" x14ac:dyDescent="0.45">
      <c r="G254" s="3">
        <f>E254*((B254-B253)/B253)+F254*((C254-C253)/C253)</f>
        <v>0</v>
      </c>
      <c r="H254">
        <f>E254*(((B254-B253)/B253) - ((C254-C253)/C253))+F254*(((C254-C253)/C253)-((B254-B253)/B253))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5A22-C5B5-4050-8A76-B069880758B3}">
  <dimension ref="A1:K254"/>
  <sheetViews>
    <sheetView tabSelected="1" zoomScale="75" workbookViewId="0">
      <selection activeCell="J3" sqref="J3"/>
    </sheetView>
  </sheetViews>
  <sheetFormatPr defaultRowHeight="14.25" x14ac:dyDescent="0.45"/>
  <cols>
    <col min="1" max="1" width="25.9296875" bestFit="1" customWidth="1"/>
    <col min="4" max="4" width="16.06640625" bestFit="1" customWidth="1"/>
    <col min="5" max="5" width="10.265625" bestFit="1" customWidth="1"/>
    <col min="7" max="7" width="16.265625" bestFit="1" customWidth="1"/>
    <col min="8" max="8" width="17.33203125" bestFit="1" customWidth="1"/>
    <col min="9" max="9" width="17.33203125" customWidth="1"/>
    <col min="10" max="10" width="15.265625" bestFit="1" customWidth="1"/>
    <col min="11" max="11" width="16.2656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5" t="s">
        <v>8</v>
      </c>
      <c r="K1" s="5" t="s">
        <v>9</v>
      </c>
    </row>
    <row r="2" spans="1:11" x14ac:dyDescent="0.45">
      <c r="A2" s="2">
        <v>45728</v>
      </c>
      <c r="B2">
        <v>115.7127380371094</v>
      </c>
      <c r="C2">
        <v>83.650001525878906</v>
      </c>
      <c r="D2">
        <f>B2/C2</f>
        <v>1.3832963051568052</v>
      </c>
      <c r="G2" s="4"/>
    </row>
    <row r="3" spans="1:11" x14ac:dyDescent="0.45">
      <c r="A3" s="2">
        <v>45729</v>
      </c>
      <c r="B3">
        <v>115.5527725219727</v>
      </c>
      <c r="C3">
        <v>79.620002746582031</v>
      </c>
      <c r="D3">
        <f t="shared" ref="D3:D66" si="0">B3/C3</f>
        <v>1.4513032973605771</v>
      </c>
      <c r="G3" s="4"/>
      <c r="J3" s="6">
        <f>AVERAGE(G15:G254)</f>
        <v>8.5566619361457132E-3</v>
      </c>
      <c r="K3" s="7">
        <f>AVERAGE(H15:H265)</f>
        <v>1.15880078086166E-2</v>
      </c>
    </row>
    <row r="4" spans="1:11" x14ac:dyDescent="0.45">
      <c r="A4" s="2">
        <v>45730</v>
      </c>
      <c r="B4">
        <v>121.64133453369141</v>
      </c>
      <c r="C4">
        <v>86.239997863769531</v>
      </c>
      <c r="D4">
        <f t="shared" si="0"/>
        <v>1.410497884355751</v>
      </c>
      <c r="G4" s="4"/>
    </row>
    <row r="5" spans="1:11" x14ac:dyDescent="0.45">
      <c r="A5" s="2">
        <v>45733</v>
      </c>
      <c r="B5">
        <v>119.501838684082</v>
      </c>
      <c r="C5">
        <v>87.349998474121094</v>
      </c>
      <c r="D5">
        <f t="shared" si="0"/>
        <v>1.368080604139752</v>
      </c>
      <c r="G5" s="4"/>
    </row>
    <row r="6" spans="1:11" x14ac:dyDescent="0.45">
      <c r="A6" s="2">
        <v>45734</v>
      </c>
      <c r="B6">
        <v>115.40280914306641</v>
      </c>
      <c r="C6">
        <v>83.889999389648438</v>
      </c>
      <c r="D6">
        <f t="shared" si="0"/>
        <v>1.3756444150994531</v>
      </c>
      <c r="G6" s="4"/>
    </row>
    <row r="7" spans="1:11" x14ac:dyDescent="0.45">
      <c r="A7" s="2">
        <v>45735</v>
      </c>
      <c r="B7">
        <v>117.492317199707</v>
      </c>
      <c r="C7">
        <v>86.099998474121094</v>
      </c>
      <c r="D7">
        <f t="shared" si="0"/>
        <v>1.3646030114044827</v>
      </c>
      <c r="G7" s="4"/>
    </row>
    <row r="8" spans="1:11" x14ac:dyDescent="0.45">
      <c r="A8" s="2">
        <v>45736</v>
      </c>
      <c r="B8">
        <v>118.502067565918</v>
      </c>
      <c r="C8">
        <v>87.389999389648438</v>
      </c>
      <c r="D8">
        <f t="shared" si="0"/>
        <v>1.356014056454552</v>
      </c>
    </row>
    <row r="9" spans="1:11" x14ac:dyDescent="0.45">
      <c r="A9" s="2">
        <v>45737</v>
      </c>
      <c r="B9">
        <v>117.67226409912109</v>
      </c>
      <c r="C9">
        <v>90.959999084472656</v>
      </c>
      <c r="D9">
        <f t="shared" si="0"/>
        <v>1.2936704626595401</v>
      </c>
    </row>
    <row r="10" spans="1:11" x14ac:dyDescent="0.45">
      <c r="A10" s="2">
        <v>45740</v>
      </c>
      <c r="B10">
        <v>121.3814010620117</v>
      </c>
      <c r="C10">
        <v>96.75</v>
      </c>
      <c r="D10">
        <f t="shared" si="0"/>
        <v>1.2545881246719557</v>
      </c>
    </row>
    <row r="11" spans="1:11" x14ac:dyDescent="0.45">
      <c r="A11" s="2">
        <v>45741</v>
      </c>
      <c r="B11">
        <v>120.6615676879883</v>
      </c>
      <c r="C11">
        <v>96.5</v>
      </c>
      <c r="D11">
        <f t="shared" si="0"/>
        <v>1.2503789397718994</v>
      </c>
    </row>
    <row r="12" spans="1:11" x14ac:dyDescent="0.45">
      <c r="A12" s="2">
        <v>45742</v>
      </c>
      <c r="B12">
        <v>113.7332000732422</v>
      </c>
      <c r="C12">
        <v>92.279998779296875</v>
      </c>
      <c r="D12">
        <f t="shared" si="0"/>
        <v>1.2324794275870579</v>
      </c>
    </row>
    <row r="13" spans="1:11" x14ac:dyDescent="0.45">
      <c r="A13" s="2">
        <v>45743</v>
      </c>
      <c r="B13">
        <v>111.4037551879883</v>
      </c>
      <c r="C13">
        <v>90.089996337890625</v>
      </c>
      <c r="D13">
        <f t="shared" si="0"/>
        <v>1.2365829694360126</v>
      </c>
    </row>
    <row r="14" spans="1:11" x14ac:dyDescent="0.45">
      <c r="A14" s="2">
        <v>45744</v>
      </c>
      <c r="B14">
        <v>109.6441650390625</v>
      </c>
      <c r="C14">
        <v>85.849998474121094</v>
      </c>
      <c r="D14">
        <f t="shared" si="0"/>
        <v>1.2771597785422675</v>
      </c>
    </row>
    <row r="15" spans="1:11" x14ac:dyDescent="0.45">
      <c r="A15" s="2">
        <v>45747</v>
      </c>
      <c r="B15">
        <v>108.3544616699219</v>
      </c>
      <c r="C15">
        <v>84.400001525878906</v>
      </c>
      <c r="D15">
        <f t="shared" si="0"/>
        <v>1.2838206126891838</v>
      </c>
      <c r="E15">
        <f>IF(D15&gt;(AVERAGE(D2:D14)),1,0)</f>
        <v>0</v>
      </c>
      <c r="F15">
        <f>IF(D15&lt;(AVERAGE(D2:D14)),1,0)</f>
        <v>1</v>
      </c>
      <c r="G15" s="3">
        <f>E15*((B15-B14)/B14)+F15*((C15-C14)/C14)</f>
        <v>-1.6889889039185941E-2</v>
      </c>
      <c r="H15">
        <f>E15*(((B15-B14)/B14) - ((C15-C14)/C14))+F15*(((C15-C14)/C14)-((B15-B14)/B14))</f>
        <v>-5.1272624673011635E-3</v>
      </c>
    </row>
    <row r="16" spans="1:11" x14ac:dyDescent="0.45">
      <c r="A16" s="2">
        <v>45748</v>
      </c>
      <c r="B16">
        <v>110.1240539550781</v>
      </c>
      <c r="C16">
        <v>84.680000305175781</v>
      </c>
      <c r="D16">
        <f t="shared" si="0"/>
        <v>1.3004729990340722</v>
      </c>
      <c r="E16">
        <f t="shared" ref="E16:E79" si="1">IF(D16&gt;(AVERAGE(D3:D15)),1,0)</f>
        <v>0</v>
      </c>
      <c r="F16">
        <f t="shared" ref="F16:F79" si="2">IF(D16&lt;(AVERAGE(D3:D15)),1,0)</f>
        <v>1</v>
      </c>
      <c r="G16" s="3">
        <f>E16*((B16-B15)/B15)+F16*((C16-C15)/C15)</f>
        <v>3.3175210217386217E-3</v>
      </c>
      <c r="H16">
        <f>E16*(((B16-B15)/B15) - ((C16-C15)/C15))+F16*(((C16-C15)/C15)-((B16-B15)/B15))</f>
        <v>-1.3013991847079534E-2</v>
      </c>
    </row>
    <row r="17" spans="1:8" x14ac:dyDescent="0.45">
      <c r="A17" s="2">
        <v>45749</v>
      </c>
      <c r="B17">
        <v>110.39398193359381</v>
      </c>
      <c r="C17">
        <v>87.449996948242188</v>
      </c>
      <c r="D17">
        <f t="shared" si="0"/>
        <v>1.2623669043571397</v>
      </c>
      <c r="E17">
        <f t="shared" si="1"/>
        <v>0</v>
      </c>
      <c r="F17">
        <f t="shared" si="2"/>
        <v>1</v>
      </c>
      <c r="G17" s="3">
        <f>E17*((B17-B16)/B16)+F17*((C17-C16)/C16)</f>
        <v>3.2711344273543885E-2</v>
      </c>
      <c r="H17">
        <f>E17*(((B17-B16)/B16) - ((C17-C16)/C16))+F17*(((C17-C16)/C16)-((B17-B16)/B16))</f>
        <v>3.0260217850012296E-2</v>
      </c>
    </row>
    <row r="18" spans="1:8" x14ac:dyDescent="0.45">
      <c r="A18" s="2">
        <v>45750</v>
      </c>
      <c r="B18">
        <v>101.77602386474609</v>
      </c>
      <c r="C18">
        <v>83.599998474121094</v>
      </c>
      <c r="D18">
        <f t="shared" si="0"/>
        <v>1.2174165756265116</v>
      </c>
      <c r="E18">
        <f t="shared" si="1"/>
        <v>0</v>
      </c>
      <c r="F18">
        <f t="shared" si="2"/>
        <v>1</v>
      </c>
      <c r="G18" s="3">
        <f>E18*((B18-B17)/B17)+F18*((C18-C17)/C17)</f>
        <v>-4.4025141320470702E-2</v>
      </c>
      <c r="H18">
        <f>E18*(((B18-B17)/B17) - ((C18-C17)/C17))+F18*(((C18-C17)/C17)-((B18-B17)/B17))</f>
        <v>3.4040328534867458E-2</v>
      </c>
    </row>
    <row r="19" spans="1:8" x14ac:dyDescent="0.45">
      <c r="A19" s="2">
        <v>45751</v>
      </c>
      <c r="B19">
        <v>94.28778076171875</v>
      </c>
      <c r="C19">
        <v>74.010002136230469</v>
      </c>
      <c r="D19">
        <f t="shared" si="0"/>
        <v>1.2739870022995392</v>
      </c>
      <c r="E19">
        <f t="shared" si="1"/>
        <v>0</v>
      </c>
      <c r="F19">
        <f t="shared" si="2"/>
        <v>1</v>
      </c>
      <c r="G19" s="3">
        <f>E19*((B19-B18)/B18)+F19*((C19-C18)/C18)</f>
        <v>-0.11471287694890651</v>
      </c>
      <c r="H19">
        <f>E19*(((B19-B18)/B18) - ((C19-C18)/C18))+F19*(((C19-C18)/C18)-((B19-B18)/B18))</f>
        <v>-4.1137168067031299E-2</v>
      </c>
    </row>
    <row r="20" spans="1:8" x14ac:dyDescent="0.45">
      <c r="A20" s="2">
        <v>45754</v>
      </c>
      <c r="B20">
        <v>97.616989135742188</v>
      </c>
      <c r="C20">
        <v>77.839996337890625</v>
      </c>
      <c r="D20">
        <f t="shared" si="0"/>
        <v>1.2540723757488745</v>
      </c>
      <c r="E20">
        <f t="shared" si="1"/>
        <v>0</v>
      </c>
      <c r="F20">
        <f t="shared" si="2"/>
        <v>1</v>
      </c>
      <c r="G20" s="3">
        <f>E20*((B20-B19)/B19)+F20*((C20-C19)/C19)</f>
        <v>5.174968370640326E-2</v>
      </c>
      <c r="H20">
        <f>E20*(((B20-B19)/B19) - ((C20-C19)/C19))+F20*(((C20-C19)/C19)-((B20-B19)/B19))</f>
        <v>1.6440671794913764E-2</v>
      </c>
    </row>
    <row r="21" spans="1:8" x14ac:dyDescent="0.45">
      <c r="A21" s="2">
        <v>45755</v>
      </c>
      <c r="B21">
        <v>96.277313232421875</v>
      </c>
      <c r="C21">
        <v>77.319999694824219</v>
      </c>
      <c r="D21">
        <f t="shared" si="0"/>
        <v>1.2451799484275821</v>
      </c>
      <c r="E21">
        <f t="shared" si="1"/>
        <v>0</v>
      </c>
      <c r="F21">
        <f t="shared" si="2"/>
        <v>1</v>
      </c>
      <c r="G21" s="3">
        <f>E21*((B21-B20)/B20)+F21*((C21-C20)/C20)</f>
        <v>-6.6803271779354448E-3</v>
      </c>
      <c r="H21">
        <f>E21*(((B21-B20)/B20) - ((C21-C20)/C20))+F21*(((C21-C20)/C20)-((B21-B20)/B20))</f>
        <v>7.0434714679889253E-3</v>
      </c>
    </row>
    <row r="22" spans="1:8" x14ac:dyDescent="0.45">
      <c r="A22" s="2">
        <v>45756</v>
      </c>
      <c r="B22">
        <v>114.3030700683594</v>
      </c>
      <c r="C22">
        <v>92.010002136230469</v>
      </c>
      <c r="D22">
        <f t="shared" si="0"/>
        <v>1.2422896143304258</v>
      </c>
      <c r="E22">
        <f t="shared" si="1"/>
        <v>0</v>
      </c>
      <c r="F22">
        <f t="shared" si="2"/>
        <v>1</v>
      </c>
      <c r="G22" s="3">
        <f>E22*((B22-B21)/B21)+F22*((C22-C21)/C21)</f>
        <v>0.18998968571374161</v>
      </c>
      <c r="H22">
        <f>E22*(((B22-B21)/B21) - ((C22-C21)/C21))+F22*(((C22-C21)/C21)-((B22-B21)/B21))</f>
        <v>2.7622254664685097E-3</v>
      </c>
    </row>
    <row r="23" spans="1:8" x14ac:dyDescent="0.45">
      <c r="A23" s="2">
        <v>45757</v>
      </c>
      <c r="B23">
        <v>107.54465484619141</v>
      </c>
      <c r="C23">
        <v>88.589996337890625</v>
      </c>
      <c r="D23">
        <f t="shared" si="0"/>
        <v>1.2139593553656547</v>
      </c>
      <c r="E23">
        <f t="shared" si="1"/>
        <v>0</v>
      </c>
      <c r="F23">
        <f t="shared" si="2"/>
        <v>1</v>
      </c>
      <c r="G23" s="3">
        <f>E23*((B23-B22)/B22)+F23*((C23-C22)/C22)</f>
        <v>-3.7169934995503709E-2</v>
      </c>
      <c r="H23">
        <f>E23*(((B23-B22)/B22) - ((C23-C22)/C22))+F23*(((C23-C22)/C22)-((B23-B22)/B22))</f>
        <v>2.1957218965681237E-2</v>
      </c>
    </row>
    <row r="24" spans="1:8" x14ac:dyDescent="0.45">
      <c r="A24" s="2">
        <v>45758</v>
      </c>
      <c r="B24">
        <v>110.90386962890619</v>
      </c>
      <c r="C24">
        <v>88.550003051757813</v>
      </c>
      <c r="D24">
        <f t="shared" si="0"/>
        <v>1.2524434309062922</v>
      </c>
      <c r="E24">
        <f t="shared" si="1"/>
        <v>0</v>
      </c>
      <c r="F24">
        <f t="shared" si="2"/>
        <v>1</v>
      </c>
      <c r="G24" s="3">
        <f>E24*((B24-B23)/B23)+F24*((C24-C23)/C23)</f>
        <v>-4.5144246287441217E-4</v>
      </c>
      <c r="H24">
        <f>E24*(((B24-B23)/B23) - ((C24-C23)/C23))+F24*(((C24-C23)/C23)-((B24-B23)/B23))</f>
        <v>-3.1686977018441871E-2</v>
      </c>
    </row>
    <row r="25" spans="1:8" x14ac:dyDescent="0.45">
      <c r="A25" s="2">
        <v>45761</v>
      </c>
      <c r="B25">
        <v>110.6839218139648</v>
      </c>
      <c r="C25">
        <v>92.620002746582031</v>
      </c>
      <c r="D25">
        <f t="shared" si="0"/>
        <v>1.1950325904956787</v>
      </c>
      <c r="E25">
        <f t="shared" si="1"/>
        <v>0</v>
      </c>
      <c r="F25">
        <f t="shared" si="2"/>
        <v>1</v>
      </c>
      <c r="G25" s="3">
        <f>E25*((B25-B24)/B24)+F25*((C25-C24)/C24)</f>
        <v>4.5962727888843646E-2</v>
      </c>
      <c r="H25">
        <f>E25*(((B25-B24)/B24) - ((C25-C24)/C24))+F25*(((C25-C24)/C24)-((B25-B24)/B24))</f>
        <v>4.7945957289921862E-2</v>
      </c>
    </row>
    <row r="26" spans="1:8" x14ac:dyDescent="0.45">
      <c r="A26" s="2">
        <v>45762</v>
      </c>
      <c r="B26">
        <v>112.17356109619141</v>
      </c>
      <c r="C26">
        <v>98.400001525878906</v>
      </c>
      <c r="D26">
        <f t="shared" si="0"/>
        <v>1.1399751967147083</v>
      </c>
      <c r="E26">
        <f t="shared" si="1"/>
        <v>0</v>
      </c>
      <c r="F26">
        <f t="shared" si="2"/>
        <v>1</v>
      </c>
      <c r="G26" s="3">
        <f>E26*((B26-B25)/B25)+F26*((C26-C25)/C25)</f>
        <v>6.2405512933437858E-2</v>
      </c>
      <c r="H26">
        <f>E26*(((B26-B25)/B25) - ((C26-C25)/C25))+F26*(((C26-C25)/C25)-((B26-B25)/B25))</f>
        <v>4.8947015458706528E-2</v>
      </c>
    </row>
    <row r="27" spans="1:8" x14ac:dyDescent="0.45">
      <c r="A27" s="2">
        <v>45763</v>
      </c>
      <c r="B27">
        <v>104.4653854370117</v>
      </c>
      <c r="C27">
        <v>92.709999084472656</v>
      </c>
      <c r="D27">
        <f t="shared" si="0"/>
        <v>1.1267973947645942</v>
      </c>
      <c r="E27">
        <f t="shared" si="1"/>
        <v>0</v>
      </c>
      <c r="F27">
        <f t="shared" si="2"/>
        <v>1</v>
      </c>
      <c r="G27" s="3">
        <f>E27*((B27-B26)/B26)+F27*((C27-C26)/C26)</f>
        <v>-5.7825227166381665E-2</v>
      </c>
      <c r="H27">
        <f>E27*(((B27-B26)/B26) - ((C27-C26)/C26))+F27*(((C27-C26)/C26)-((B27-B26)/B26))</f>
        <v>1.0891283068768701E-2</v>
      </c>
    </row>
    <row r="28" spans="1:8" x14ac:dyDescent="0.45">
      <c r="A28" s="2">
        <v>45764</v>
      </c>
      <c r="B28">
        <v>101.46607971191411</v>
      </c>
      <c r="C28">
        <v>93.779998779296875</v>
      </c>
      <c r="D28">
        <f t="shared" si="0"/>
        <v>1.0819586375843933</v>
      </c>
      <c r="E28">
        <f t="shared" si="1"/>
        <v>0</v>
      </c>
      <c r="F28">
        <f t="shared" si="2"/>
        <v>1</v>
      </c>
      <c r="G28" s="3">
        <f>E28*((B28-B27)/B27)+F28*((C28-C27)/C27)</f>
        <v>1.1541362370732947E-2</v>
      </c>
      <c r="H28">
        <f>E28*(((B28-B27)/B27) - ((C28-C27)/C27))+F28*(((C28-C27)/C27)-((B28-B27)/B27))</f>
        <v>4.02523627901595E-2</v>
      </c>
    </row>
    <row r="29" spans="1:8" x14ac:dyDescent="0.45">
      <c r="A29" s="2">
        <v>45768</v>
      </c>
      <c r="B29">
        <v>96.887176513671875</v>
      </c>
      <c r="C29">
        <v>90.800003051757813</v>
      </c>
      <c r="D29">
        <f t="shared" si="0"/>
        <v>1.0670393530542532</v>
      </c>
      <c r="E29">
        <f t="shared" si="1"/>
        <v>0</v>
      </c>
      <c r="F29">
        <f t="shared" si="2"/>
        <v>1</v>
      </c>
      <c r="G29" s="3">
        <f>E29*((B29-B28)/B28)+F29*((C29-C28)/C28)</f>
        <v>-3.1776453042532286E-2</v>
      </c>
      <c r="H29">
        <f>E29*(((B29-B28)/B28) - ((C29-C28)/C28))+F29*(((C29-C28)/C28)-((B29-B28)/B28))</f>
        <v>1.3350974874686998E-2</v>
      </c>
    </row>
    <row r="30" spans="1:8" x14ac:dyDescent="0.45">
      <c r="A30" s="2">
        <v>45769</v>
      </c>
      <c r="B30">
        <v>98.866691589355469</v>
      </c>
      <c r="C30">
        <v>93.989997863769531</v>
      </c>
      <c r="D30">
        <f t="shared" si="0"/>
        <v>1.0518852413706221</v>
      </c>
      <c r="E30">
        <f t="shared" si="1"/>
        <v>0</v>
      </c>
      <c r="F30">
        <f t="shared" si="2"/>
        <v>1</v>
      </c>
      <c r="G30" s="3">
        <f>E30*((B30-B29)/B29)+F30*((C30-C29)/C29)</f>
        <v>3.5132100273095344E-2</v>
      </c>
      <c r="H30">
        <f>E30*(((B30-B29)/B29) - ((C30-C29)/C29))+F30*(((C30-C29)/C29)-((B30-B29)/B29))</f>
        <v>1.4700964317716753E-2</v>
      </c>
    </row>
    <row r="31" spans="1:8" x14ac:dyDescent="0.45">
      <c r="A31" s="2">
        <v>45770</v>
      </c>
      <c r="B31">
        <v>102.6857986450195</v>
      </c>
      <c r="C31">
        <v>100.8199996948242</v>
      </c>
      <c r="D31">
        <f t="shared" si="0"/>
        <v>1.0185062384035206</v>
      </c>
      <c r="E31">
        <f t="shared" si="1"/>
        <v>0</v>
      </c>
      <c r="F31">
        <f t="shared" si="2"/>
        <v>1</v>
      </c>
      <c r="G31" s="3">
        <f>E31*((B31-B30)/B30)+F31*((C31-C30)/C30)</f>
        <v>7.2667326165430673E-2</v>
      </c>
      <c r="H31">
        <f>E31*(((B31-B30)/B30) - ((C31-C30)/C30))+F31*(((C31-C30)/C30)-((B31-B30)/B30))</f>
        <v>3.403847155050372E-2</v>
      </c>
    </row>
    <row r="32" spans="1:8" x14ac:dyDescent="0.45">
      <c r="A32" s="2">
        <v>45771</v>
      </c>
      <c r="B32">
        <v>106.40492248535161</v>
      </c>
      <c r="C32">
        <v>107.7799987792969</v>
      </c>
      <c r="D32">
        <f t="shared" si="0"/>
        <v>0.98724182306996433</v>
      </c>
      <c r="E32">
        <f t="shared" si="1"/>
        <v>0</v>
      </c>
      <c r="F32">
        <f t="shared" si="2"/>
        <v>1</v>
      </c>
      <c r="G32" s="3">
        <f>E32*((B32-B31)/B31)+F32*((C32-C31)/C31)</f>
        <v>6.9033912969055533E-2</v>
      </c>
      <c r="H32">
        <f>E32*(((B32-B31)/B31) - ((C32-C31)/C31))+F32*(((C32-C31)/C31)-((B32-B31)/B31))</f>
        <v>3.2815430088195277E-2</v>
      </c>
    </row>
    <row r="33" spans="1:8" x14ac:dyDescent="0.45">
      <c r="A33" s="2">
        <v>45772</v>
      </c>
      <c r="B33">
        <v>110.9838562011719</v>
      </c>
      <c r="C33">
        <v>112.7799987792969</v>
      </c>
      <c r="D33">
        <f t="shared" si="0"/>
        <v>0.98407392624963641</v>
      </c>
      <c r="E33">
        <f t="shared" si="1"/>
        <v>0</v>
      </c>
      <c r="F33">
        <f t="shared" si="2"/>
        <v>1</v>
      </c>
      <c r="G33" s="3">
        <f>E33*((B33-B32)/B32)+F33*((C33-C32)/C32)</f>
        <v>4.6390796591476983E-2</v>
      </c>
      <c r="H33">
        <f>E33*(((B33-B32)/B32) - ((C33-C32)/C32))+F33*(((C33-C32)/C32)-((B33-B32)/B32))</f>
        <v>3.3576961590165919E-3</v>
      </c>
    </row>
    <row r="34" spans="1:8" x14ac:dyDescent="0.45">
      <c r="A34" s="2">
        <v>45775</v>
      </c>
      <c r="B34">
        <v>108.7043991088867</v>
      </c>
      <c r="C34">
        <v>114.65000152587891</v>
      </c>
      <c r="D34">
        <f t="shared" si="0"/>
        <v>0.94814127921620517</v>
      </c>
      <c r="E34">
        <f t="shared" si="1"/>
        <v>0</v>
      </c>
      <c r="F34">
        <f t="shared" si="2"/>
        <v>1</v>
      </c>
      <c r="G34" s="3">
        <f>E34*((B34-B33)/B33)+F34*((C34-C33)/C33)</f>
        <v>1.6580978602788215E-2</v>
      </c>
      <c r="H34">
        <f>E34*(((B34-B33)/B33) - ((C34-C33)/C33))+F34*(((C34-C33)/C33)-((B34-B33)/B33))</f>
        <v>3.7119615214525711E-2</v>
      </c>
    </row>
    <row r="35" spans="1:8" x14ac:dyDescent="0.45">
      <c r="A35" s="2">
        <v>45776</v>
      </c>
      <c r="B35">
        <v>108.9943161010742</v>
      </c>
      <c r="C35">
        <v>116.0800018310547</v>
      </c>
      <c r="D35">
        <f t="shared" si="0"/>
        <v>0.93895860080797422</v>
      </c>
      <c r="E35">
        <f t="shared" si="1"/>
        <v>0</v>
      </c>
      <c r="F35">
        <f t="shared" si="2"/>
        <v>1</v>
      </c>
      <c r="G35" s="3">
        <f>E35*((B35-B34)/B34)+F35*((C35-C34)/C34)</f>
        <v>1.2472745627072795E-2</v>
      </c>
      <c r="H35">
        <f>E35*(((B35-B34)/B34) - ((C35-C34)/C34))+F35*(((C35-C34)/C34)-((B35-B34)/B34))</f>
        <v>9.8057239189899715E-3</v>
      </c>
    </row>
    <row r="36" spans="1:8" x14ac:dyDescent="0.45">
      <c r="A36" s="2">
        <v>45777</v>
      </c>
      <c r="B36">
        <v>108.8943328857422</v>
      </c>
      <c r="C36">
        <v>118.44000244140619</v>
      </c>
      <c r="D36">
        <f t="shared" si="0"/>
        <v>0.91940502061044482</v>
      </c>
      <c r="E36">
        <f t="shared" si="1"/>
        <v>0</v>
      </c>
      <c r="F36">
        <f t="shared" si="2"/>
        <v>1</v>
      </c>
      <c r="G36" s="3">
        <f>E36*((B36-B35)/B35)+F36*((C36-C35)/C35)</f>
        <v>2.0330811277779668E-2</v>
      </c>
      <c r="H36">
        <f>E36*(((B36-B35)/B35) - ((C36-C35)/C35))+F36*(((C36-C35)/C35)-((B36-B35)/B35))</f>
        <v>2.1248136317365079E-2</v>
      </c>
    </row>
    <row r="37" spans="1:8" x14ac:dyDescent="0.45">
      <c r="A37" s="2">
        <v>45778</v>
      </c>
      <c r="B37">
        <v>111.5837020874023</v>
      </c>
      <c r="C37">
        <v>116.1999969482422</v>
      </c>
      <c r="D37">
        <f t="shared" si="0"/>
        <v>0.96027284869124319</v>
      </c>
      <c r="E37">
        <f t="shared" si="1"/>
        <v>0</v>
      </c>
      <c r="F37">
        <f t="shared" si="2"/>
        <v>1</v>
      </c>
      <c r="G37" s="3">
        <f>E37*((B37-B36)/B36)+F37*((C37-C36)/C36)</f>
        <v>-1.8912575540279572E-2</v>
      </c>
      <c r="H37">
        <f>E37*(((B37-B36)/B36) - ((C37-C36)/C36))+F37*(((C37-C36)/C36)-((B37-B36)/B36))</f>
        <v>-4.3609629375780182E-2</v>
      </c>
    </row>
    <row r="38" spans="1:8" x14ac:dyDescent="0.45">
      <c r="A38" s="2">
        <v>45779</v>
      </c>
      <c r="B38">
        <v>114.473030090332</v>
      </c>
      <c r="C38">
        <v>124.2799987792969</v>
      </c>
      <c r="D38">
        <f t="shared" si="0"/>
        <v>0.92108972654255783</v>
      </c>
      <c r="E38">
        <f t="shared" si="1"/>
        <v>0</v>
      </c>
      <c r="F38">
        <f t="shared" si="2"/>
        <v>1</v>
      </c>
      <c r="G38" s="3">
        <f>E38*((B38-B37)/B37)+F38*((C38-C37)/C37)</f>
        <v>6.9535301577104996E-2</v>
      </c>
      <c r="H38">
        <f>E38*(((B38-B37)/B37) - ((C38-C37)/C37))+F38*(((C38-C37)/C37)-((B38-B37)/B37))</f>
        <v>4.3641484210599962E-2</v>
      </c>
    </row>
    <row r="39" spans="1:8" x14ac:dyDescent="0.45">
      <c r="A39" s="2">
        <v>45782</v>
      </c>
      <c r="B39">
        <v>113.79319000244141</v>
      </c>
      <c r="C39">
        <v>123.76999664306641</v>
      </c>
      <c r="D39">
        <f t="shared" si="0"/>
        <v>0.91939236558762649</v>
      </c>
      <c r="E39">
        <f t="shared" si="1"/>
        <v>0</v>
      </c>
      <c r="F39">
        <f t="shared" si="2"/>
        <v>1</v>
      </c>
      <c r="G39" s="3">
        <f>E39*((B39-B38)/B38)+F39*((C39-C38)/C38)</f>
        <v>-4.1036541779839114E-3</v>
      </c>
      <c r="H39">
        <f>E39*(((B39-B38)/B38) - ((C39-C38)/C38))+F39*(((C39-C38)/C38)-((B39-B38)/B38))</f>
        <v>1.8352127093006028E-3</v>
      </c>
    </row>
    <row r="40" spans="1:8" x14ac:dyDescent="0.45">
      <c r="A40" s="2">
        <v>45783</v>
      </c>
      <c r="B40">
        <v>113.5132598876953</v>
      </c>
      <c r="C40">
        <v>108.86000061035161</v>
      </c>
      <c r="D40">
        <f t="shared" si="0"/>
        <v>1.0427453541360829</v>
      </c>
      <c r="E40">
        <f t="shared" si="1"/>
        <v>1</v>
      </c>
      <c r="F40">
        <f t="shared" si="2"/>
        <v>0</v>
      </c>
      <c r="G40" s="3">
        <f>E40*((B40-B39)/B39)+F40*((C40-C39)/C39)</f>
        <v>-2.4599900463296805E-3</v>
      </c>
      <c r="H40">
        <f>E40*(((B40-B39)/B39) - ((C40-C39)/C39))+F40*(((C40-C39)/C39)-((B40-B39)/B39))</f>
        <v>0.11800536049991725</v>
      </c>
    </row>
    <row r="41" spans="1:8" x14ac:dyDescent="0.45">
      <c r="A41" s="2">
        <v>45784</v>
      </c>
      <c r="B41">
        <v>117.0324249267578</v>
      </c>
      <c r="C41">
        <v>110.48000335693359</v>
      </c>
      <c r="D41">
        <f t="shared" si="0"/>
        <v>1.0593086655569239</v>
      </c>
      <c r="E41">
        <f t="shared" si="1"/>
        <v>1</v>
      </c>
      <c r="F41">
        <f t="shared" si="2"/>
        <v>0</v>
      </c>
      <c r="G41" s="3">
        <f>E41*((B41-B40)/B40)+F41*((C41-C40)/C40)</f>
        <v>3.1002237470267324E-2</v>
      </c>
      <c r="H41">
        <f>E41*(((B41-B40)/B40) - ((C41-C40)/C40))+F41*(((C41-C40)/C40)-((B41-B40)/B40))</f>
        <v>1.6120713150048451E-2</v>
      </c>
    </row>
    <row r="42" spans="1:8" x14ac:dyDescent="0.45">
      <c r="A42" s="2">
        <v>45785</v>
      </c>
      <c r="B42">
        <v>117.3423538208008</v>
      </c>
      <c r="C42">
        <v>119.15000152587891</v>
      </c>
      <c r="D42">
        <f t="shared" si="0"/>
        <v>0.98482880669803852</v>
      </c>
      <c r="E42">
        <f t="shared" si="1"/>
        <v>0</v>
      </c>
      <c r="F42">
        <f t="shared" si="2"/>
        <v>1</v>
      </c>
      <c r="G42" s="3">
        <f>E42*((B42-B41)/B41)+F42*((C42-C41)/C41)</f>
        <v>7.8475723257671257E-2</v>
      </c>
      <c r="H42">
        <f>E42*(((B42-B41)/B41) - ((C42-C41)/C41))+F42*(((C42-C41)/C41)-((B42-B41)/B41))</f>
        <v>7.5827492271797386E-2</v>
      </c>
    </row>
    <row r="43" spans="1:8" x14ac:dyDescent="0.45">
      <c r="A43" s="2">
        <v>45786</v>
      </c>
      <c r="B43">
        <v>116.6225204467773</v>
      </c>
      <c r="C43">
        <v>117.3000030517578</v>
      </c>
      <c r="D43">
        <f t="shared" si="0"/>
        <v>0.99422435986909941</v>
      </c>
      <c r="E43">
        <f t="shared" si="1"/>
        <v>1</v>
      </c>
      <c r="F43">
        <f t="shared" si="2"/>
        <v>0</v>
      </c>
      <c r="G43" s="3">
        <f>E43*((B43-B42)/B42)+F43*((C43-C42)/C42)</f>
        <v>-6.1344719155948316E-3</v>
      </c>
      <c r="H43">
        <f>E43*(((B43-B42)/B42) - ((C43-C42)/C42))+F43*(((C43-C42)/C42)-((B43-B42)/B42))</f>
        <v>9.3921621627043247E-3</v>
      </c>
    </row>
    <row r="44" spans="1:8" x14ac:dyDescent="0.45">
      <c r="A44" s="2">
        <v>45789</v>
      </c>
      <c r="B44">
        <v>122.9710235595703</v>
      </c>
      <c r="C44">
        <v>118.4599990844727</v>
      </c>
      <c r="D44">
        <f t="shared" si="0"/>
        <v>1.0380805715850194</v>
      </c>
      <c r="E44">
        <f t="shared" si="1"/>
        <v>1</v>
      </c>
      <c r="F44">
        <f t="shared" si="2"/>
        <v>0</v>
      </c>
      <c r="G44" s="3">
        <f>E44*((B44-B43)/B43)+F44*((C44-C43)/C43)</f>
        <v>5.4436339469187224E-2</v>
      </c>
      <c r="H44">
        <f>E44*(((B44-B43)/B43) - ((C44-C43)/C43))+F44*(((C44-C43)/C43)-((B44-B43)/B43))</f>
        <v>4.4547200487638688E-2</v>
      </c>
    </row>
    <row r="45" spans="1:8" x14ac:dyDescent="0.45">
      <c r="A45" s="2">
        <v>45790</v>
      </c>
      <c r="B45">
        <v>129.8993835449219</v>
      </c>
      <c r="C45">
        <v>128.1000061035156</v>
      </c>
      <c r="D45">
        <f t="shared" si="0"/>
        <v>1.014046661636786</v>
      </c>
      <c r="E45">
        <f t="shared" si="1"/>
        <v>1</v>
      </c>
      <c r="F45">
        <f t="shared" si="2"/>
        <v>0</v>
      </c>
      <c r="G45" s="3">
        <f>E45*((B45-B44)/B44)+F45*((C45-C44)/C44)</f>
        <v>5.6341402915909951E-2</v>
      </c>
      <c r="H45">
        <f>E45*(((B45-B44)/B44) - ((C45-C44)/C44))+F45*(((C45-C44)/C44)-((B45-B44)/B44))</f>
        <v>-2.5036337195067933E-2</v>
      </c>
    </row>
    <row r="46" spans="1:8" x14ac:dyDescent="0.45">
      <c r="A46" s="2">
        <v>45791</v>
      </c>
      <c r="B46">
        <v>135.30810546875</v>
      </c>
      <c r="C46">
        <v>130.17999267578119</v>
      </c>
      <c r="D46">
        <f t="shared" si="0"/>
        <v>1.039392480269534</v>
      </c>
      <c r="E46">
        <f t="shared" si="1"/>
        <v>1</v>
      </c>
      <c r="F46">
        <f t="shared" si="2"/>
        <v>0</v>
      </c>
      <c r="G46" s="3">
        <f>E46*((B46-B45)/B45)+F46*((C46-C45)/C45)</f>
        <v>4.1637779766350073E-2</v>
      </c>
      <c r="H46">
        <f>E46*(((B46-B45)/B45) - ((C46-C45)/C45))+F46*(((C46-C45)/C45)-((B46-B45)/B45))</f>
        <v>2.5400570764308402E-2</v>
      </c>
    </row>
    <row r="47" spans="1:8" x14ac:dyDescent="0.45">
      <c r="A47" s="2">
        <v>45792</v>
      </c>
      <c r="B47">
        <v>134.7982482910156</v>
      </c>
      <c r="C47">
        <v>128.1199951171875</v>
      </c>
      <c r="D47">
        <f t="shared" si="0"/>
        <v>1.0521249877329428</v>
      </c>
      <c r="E47">
        <f t="shared" si="1"/>
        <v>1</v>
      </c>
      <c r="F47">
        <f t="shared" si="2"/>
        <v>0</v>
      </c>
      <c r="G47" s="3">
        <f>E47*((B47-B46)/B46)+F47*((C47-C46)/C46)</f>
        <v>-3.7681199952367757E-3</v>
      </c>
      <c r="H47">
        <f>E47*(((B47-B46)/B46) - ((C47-C46)/C46))+F47*(((C47-C46)/C46)-((B47-B46)/B46))</f>
        <v>1.2056105496342447E-2</v>
      </c>
    </row>
    <row r="48" spans="1:8" x14ac:dyDescent="0.45">
      <c r="A48" s="2">
        <v>45793</v>
      </c>
      <c r="B48">
        <v>135.36810302734381</v>
      </c>
      <c r="C48">
        <v>129.52000427246091</v>
      </c>
      <c r="D48">
        <f t="shared" si="0"/>
        <v>1.0451520889590207</v>
      </c>
      <c r="E48">
        <f t="shared" si="1"/>
        <v>1</v>
      </c>
      <c r="F48">
        <f t="shared" si="2"/>
        <v>0</v>
      </c>
      <c r="G48" s="3">
        <f>E48*((B48-B47)/B47)+F48*((C48-C47)/C47)</f>
        <v>4.227463958566823E-3</v>
      </c>
      <c r="H48">
        <f>E48*(((B48-B47)/B47) - ((C48-C47)/C47))+F48*(((C48-C47)/C47)-((B48-B47)/B47))</f>
        <v>-6.6998636142516334E-3</v>
      </c>
    </row>
    <row r="49" spans="1:8" x14ac:dyDescent="0.45">
      <c r="A49" s="2">
        <v>45796</v>
      </c>
      <c r="B49">
        <v>135.5380554199219</v>
      </c>
      <c r="C49">
        <v>126.3300018310547</v>
      </c>
      <c r="D49">
        <f t="shared" si="0"/>
        <v>1.0728888898551703</v>
      </c>
      <c r="E49">
        <f t="shared" si="1"/>
        <v>1</v>
      </c>
      <c r="F49">
        <f t="shared" si="2"/>
        <v>0</v>
      </c>
      <c r="G49" s="3">
        <f>E49*((B49-B48)/B48)+F49*((C49-C48)/C48)</f>
        <v>1.2554832990735408E-3</v>
      </c>
      <c r="H49">
        <f>E49*(((B49-B48)/B48) - ((C49-C48)/C48))+F49*(((C49-C48)/C48)-((B49-B48)/B48))</f>
        <v>2.5884902201003576E-2</v>
      </c>
    </row>
    <row r="50" spans="1:8" x14ac:dyDescent="0.45">
      <c r="A50" s="2">
        <v>45797</v>
      </c>
      <c r="B50">
        <v>134.34834289550781</v>
      </c>
      <c r="C50">
        <v>125.5899963378906</v>
      </c>
      <c r="D50">
        <f t="shared" si="0"/>
        <v>1.0697376129708096</v>
      </c>
      <c r="E50">
        <f t="shared" si="1"/>
        <v>1</v>
      </c>
      <c r="F50">
        <f t="shared" si="2"/>
        <v>0</v>
      </c>
      <c r="G50" s="3">
        <f>E50*((B50-B49)/B49)+F50*((C50-C49)/C49)</f>
        <v>-8.7777009986467792E-3</v>
      </c>
      <c r="H50">
        <f>E50*(((B50-B49)/B49) - ((C50-C49)/C49))+F50*(((C50-C49)/C49)-((B50-B49)/B49))</f>
        <v>-2.9199832559229331E-3</v>
      </c>
    </row>
    <row r="51" spans="1:8" x14ac:dyDescent="0.45">
      <c r="A51" s="2">
        <v>45798</v>
      </c>
      <c r="B51">
        <v>131.7689514160156</v>
      </c>
      <c r="C51">
        <v>120.5800018310547</v>
      </c>
      <c r="D51">
        <f t="shared" si="0"/>
        <v>1.0927927468489991</v>
      </c>
      <c r="E51">
        <f t="shared" si="1"/>
        <v>1</v>
      </c>
      <c r="F51">
        <f t="shared" si="2"/>
        <v>0</v>
      </c>
      <c r="G51" s="3">
        <f>E51*((B51-B50)/B50)+F51*((C51-C50)/C50)</f>
        <v>-1.9199280198776928E-2</v>
      </c>
      <c r="H51">
        <f>E51*(((B51-B50)/B50) - ((C51-C50)/C50))+F51*(((C51-C50)/C50)-((B51-B50)/B50))</f>
        <v>2.0692388349065647E-2</v>
      </c>
    </row>
    <row r="52" spans="1:8" x14ac:dyDescent="0.45">
      <c r="A52" s="2">
        <v>45799</v>
      </c>
      <c r="B52">
        <v>132.7987060546875</v>
      </c>
      <c r="C52">
        <v>122.2900009155273</v>
      </c>
      <c r="D52">
        <f t="shared" si="0"/>
        <v>1.08593266056494</v>
      </c>
      <c r="E52">
        <f t="shared" si="1"/>
        <v>1</v>
      </c>
      <c r="F52">
        <f t="shared" si="2"/>
        <v>0</v>
      </c>
      <c r="G52" s="3">
        <f>E52*((B52-B51)/B51)+F52*((C52-C51)/C51)</f>
        <v>7.8148503695745723E-3</v>
      </c>
      <c r="H52">
        <f>E52*(((B52-B51)/B51) - ((C52-C51)/C51))+F52*(((C52-C51)/C51)-((B52-B51)/B51))</f>
        <v>-6.3665981169538036E-3</v>
      </c>
    </row>
    <row r="53" spans="1:8" x14ac:dyDescent="0.45">
      <c r="A53" s="2">
        <v>45800</v>
      </c>
      <c r="B53">
        <v>131.2590637207031</v>
      </c>
      <c r="C53">
        <v>123.30999755859381</v>
      </c>
      <c r="D53">
        <f t="shared" si="0"/>
        <v>1.0644640849849347</v>
      </c>
      <c r="E53">
        <f t="shared" si="1"/>
        <v>1</v>
      </c>
      <c r="F53">
        <f t="shared" si="2"/>
        <v>0</v>
      </c>
      <c r="G53" s="3">
        <f>E53*((B53-B52)/B52)+F53*((C53-C52)/C52)</f>
        <v>-1.1593805238963452E-2</v>
      </c>
      <c r="H53">
        <f>E53*(((B53-B52)/B52) - ((C53-C52)/C52))+F53*(((C53-C52)/C52)-((B53-B52)/B52))</f>
        <v>-1.9934606902470477E-2</v>
      </c>
    </row>
    <row r="54" spans="1:8" x14ac:dyDescent="0.45">
      <c r="A54" s="2">
        <v>45804</v>
      </c>
      <c r="B54">
        <v>135.46806335449219</v>
      </c>
      <c r="C54">
        <v>123.38999938964839</v>
      </c>
      <c r="D54">
        <f t="shared" si="0"/>
        <v>1.0978852745326868</v>
      </c>
      <c r="E54">
        <f t="shared" si="1"/>
        <v>1</v>
      </c>
      <c r="F54">
        <f t="shared" si="2"/>
        <v>0</v>
      </c>
      <c r="G54" s="3">
        <f>E54*((B54-B53)/B53)+F54*((C54-C53)/C53)</f>
        <v>3.2066354234745451E-2</v>
      </c>
      <c r="H54">
        <f>E54*(((B54-B53)/B53) - ((C54-C53)/C53))+F54*(((C54-C53)/C53)-((B54-B53)/B53))</f>
        <v>3.1417567983520578E-2</v>
      </c>
    </row>
    <row r="55" spans="1:8" x14ac:dyDescent="0.45">
      <c r="A55" s="2">
        <v>45805</v>
      </c>
      <c r="B55">
        <v>134.77824401855469</v>
      </c>
      <c r="C55">
        <v>123.7600021362305</v>
      </c>
      <c r="D55">
        <f t="shared" si="0"/>
        <v>1.0890291022312339</v>
      </c>
      <c r="E55">
        <f t="shared" si="1"/>
        <v>1</v>
      </c>
      <c r="F55">
        <f t="shared" si="2"/>
        <v>0</v>
      </c>
      <c r="G55" s="3">
        <f>E55*((B55-B54)/B54)+F55*((C55-C54)/C54)</f>
        <v>-5.0921177940839385E-3</v>
      </c>
      <c r="H55">
        <f>E55*(((B55-B54)/B54) - ((C55-C54)/C54))+F55*(((C55-C54)/C54)-((B55-B54)/B54))</f>
        <v>-8.090762322913907E-3</v>
      </c>
    </row>
    <row r="56" spans="1:8" x14ac:dyDescent="0.45">
      <c r="A56" s="2">
        <v>45806</v>
      </c>
      <c r="B56">
        <v>139.15721130371091</v>
      </c>
      <c r="C56">
        <v>122.3199996948242</v>
      </c>
      <c r="D56">
        <f t="shared" si="0"/>
        <v>1.1376488853081574</v>
      </c>
      <c r="E56">
        <f t="shared" si="1"/>
        <v>1</v>
      </c>
      <c r="F56">
        <f t="shared" si="2"/>
        <v>0</v>
      </c>
      <c r="G56" s="3">
        <f>E56*((B56-B55)/B55)+F56*((C56-C55)/C55)</f>
        <v>3.2490164247527792E-2</v>
      </c>
      <c r="H56">
        <f>E56*(((B56-B55)/B55) - ((C56-C55)/C55))+F56*(((C56-C55)/C55)-((B56-B55)/B55))</f>
        <v>4.4125607173758435E-2</v>
      </c>
    </row>
    <row r="57" spans="1:8" x14ac:dyDescent="0.45">
      <c r="A57" s="2">
        <v>45807</v>
      </c>
      <c r="B57">
        <v>135.0981750488281</v>
      </c>
      <c r="C57">
        <v>131.7799987792969</v>
      </c>
      <c r="D57">
        <f t="shared" si="0"/>
        <v>1.0251796653533776</v>
      </c>
      <c r="E57">
        <f t="shared" si="1"/>
        <v>0</v>
      </c>
      <c r="F57">
        <f t="shared" si="2"/>
        <v>1</v>
      </c>
      <c r="G57" s="3">
        <f>E57*((B57-B56)/B56)+F57*((C57-C56)/C56)</f>
        <v>7.7338122204663351E-2</v>
      </c>
      <c r="H57">
        <f>E57*(((B57-B56)/B56) - ((C57-C56)/C56))+F57*(((C57-C56)/C56)-((B57-B56)/B56))</f>
        <v>0.10650683158634217</v>
      </c>
    </row>
    <row r="58" spans="1:8" x14ac:dyDescent="0.45">
      <c r="A58" s="2">
        <v>45810</v>
      </c>
      <c r="B58">
        <v>137.34764099121091</v>
      </c>
      <c r="C58">
        <v>132.03999328613281</v>
      </c>
      <c r="D58">
        <f t="shared" si="0"/>
        <v>1.0401972733638083</v>
      </c>
      <c r="E58">
        <f t="shared" si="1"/>
        <v>0</v>
      </c>
      <c r="F58">
        <f t="shared" si="2"/>
        <v>1</v>
      </c>
      <c r="G58" s="3">
        <f>E58*((B58-B57)/B57)+F58*((C58-C57)/C57)</f>
        <v>1.9729436124168117E-3</v>
      </c>
      <c r="H58">
        <f>E58*(((B58-B57)/B57) - ((C58-C57)/C57))+F58*(((C58-C57)/C57)-((B58-B57)/B57))</f>
        <v>-1.467765837809709E-2</v>
      </c>
    </row>
    <row r="59" spans="1:8" x14ac:dyDescent="0.45">
      <c r="A59" s="2">
        <v>45811</v>
      </c>
      <c r="B59">
        <v>141.18672180175781</v>
      </c>
      <c r="C59">
        <v>133.16999816894531</v>
      </c>
      <c r="D59">
        <f t="shared" si="0"/>
        <v>1.0601991720585753</v>
      </c>
      <c r="E59">
        <f t="shared" si="1"/>
        <v>0</v>
      </c>
      <c r="F59">
        <f t="shared" si="2"/>
        <v>1</v>
      </c>
      <c r="G59" s="3">
        <f>E59*((B59-B58)/B58)+F59*((C59-C58)/C58)</f>
        <v>8.5580501383680091E-3</v>
      </c>
      <c r="H59">
        <f>E59*(((B59-B58)/B58) - ((C59-C58)/C58))+F59*(((C59-C58)/C58)-((B59-B58)/B58))</f>
        <v>-1.9393509734382714E-2</v>
      </c>
    </row>
    <row r="60" spans="1:8" x14ac:dyDescent="0.45">
      <c r="A60" s="2">
        <v>45812</v>
      </c>
      <c r="B60">
        <v>141.8865661621094</v>
      </c>
      <c r="C60">
        <v>130.00999450683591</v>
      </c>
      <c r="D60">
        <f t="shared" si="0"/>
        <v>1.0913512203452098</v>
      </c>
      <c r="E60">
        <f t="shared" si="1"/>
        <v>1</v>
      </c>
      <c r="F60">
        <f t="shared" si="2"/>
        <v>0</v>
      </c>
      <c r="G60" s="3">
        <f>E60*((B60-B59)/B59)+F60*((C60-C59)/C59)</f>
        <v>4.956870953730705E-3</v>
      </c>
      <c r="H60">
        <f>E60*(((B60-B59)/B59) - ((C60-C59)/C59))+F60*(((C60-C59)/C59)-((B60-B59)/B59))</f>
        <v>2.868596688794018E-2</v>
      </c>
    </row>
    <row r="61" spans="1:8" x14ac:dyDescent="0.45">
      <c r="A61" s="2">
        <v>45813</v>
      </c>
      <c r="B61">
        <v>139.95701599121091</v>
      </c>
      <c r="C61">
        <v>119.9100036621094</v>
      </c>
      <c r="D61">
        <f t="shared" si="0"/>
        <v>1.1671838188379291</v>
      </c>
      <c r="E61">
        <f t="shared" si="1"/>
        <v>1</v>
      </c>
      <c r="F61">
        <f t="shared" si="2"/>
        <v>0</v>
      </c>
      <c r="G61" s="3">
        <f>E61*((B61-B60)/B60)+F61*((C61-C60)/C60)</f>
        <v>-1.3599244967941002E-2</v>
      </c>
      <c r="H61">
        <f>E61*(((B61-B60)/B60) - ((C61-C60)/C60))+F61*(((C61-C60)/C60)-((B61-B60)/B60))</f>
        <v>6.4087019715313401E-2</v>
      </c>
    </row>
    <row r="62" spans="1:8" x14ac:dyDescent="0.45">
      <c r="A62" s="2">
        <v>45814</v>
      </c>
      <c r="B62">
        <v>141.68659973144531</v>
      </c>
      <c r="C62">
        <v>127.7200012207031</v>
      </c>
      <c r="D62">
        <f t="shared" si="0"/>
        <v>1.1093532600787219</v>
      </c>
      <c r="E62">
        <f t="shared" si="1"/>
        <v>1</v>
      </c>
      <c r="F62">
        <f t="shared" si="2"/>
        <v>0</v>
      </c>
      <c r="G62" s="3">
        <f>E62*((B62-B61)/B61)+F62*((C62-C61)/C61)</f>
        <v>1.2357963821856695E-2</v>
      </c>
      <c r="H62">
        <f>E62*(((B62-B61)/B61) - ((C62-C61)/C61))+F62*(((C62-C61)/C61)-((B62-B61)/B61))</f>
        <v>-5.277419629883881E-2</v>
      </c>
    </row>
    <row r="63" spans="1:8" x14ac:dyDescent="0.45">
      <c r="A63" s="2">
        <v>45817</v>
      </c>
      <c r="B63">
        <v>142.5964050292969</v>
      </c>
      <c r="C63">
        <v>132.05999755859381</v>
      </c>
      <c r="D63">
        <f t="shared" si="0"/>
        <v>1.079785004282074</v>
      </c>
      <c r="E63">
        <f t="shared" si="1"/>
        <v>0</v>
      </c>
      <c r="F63">
        <f t="shared" si="2"/>
        <v>1</v>
      </c>
      <c r="G63" s="3">
        <f>E63*((B63-B62)/B62)+F63*((C63-C62)/C62)</f>
        <v>3.3980553526546692E-2</v>
      </c>
      <c r="H63">
        <f>E63*(((B63-B62)/B62) - ((C63-C62)/C62))+F63*(((C63-C62)/C62)-((B63-B62)/B62))</f>
        <v>2.7559301978580631E-2</v>
      </c>
    </row>
    <row r="64" spans="1:8" x14ac:dyDescent="0.45">
      <c r="A64" s="2">
        <v>45818</v>
      </c>
      <c r="B64">
        <v>143.92608642578119</v>
      </c>
      <c r="C64">
        <v>132.80999755859381</v>
      </c>
      <c r="D64">
        <f t="shared" si="0"/>
        <v>1.0836991873468196</v>
      </c>
      <c r="E64">
        <f t="shared" si="1"/>
        <v>0</v>
      </c>
      <c r="F64">
        <f t="shared" si="2"/>
        <v>1</v>
      </c>
      <c r="G64" s="3">
        <f>E64*((B64-B63)/B63)+F64*((C64-C63)/C63)</f>
        <v>5.679236815578706E-3</v>
      </c>
      <c r="H64">
        <f>E64*(((B64-B63)/B63) - ((C64-C63)/C63))+F64*(((C64-C63)/C63)-((B64-B63)/B63))</f>
        <v>-3.6455522365092634E-3</v>
      </c>
    </row>
    <row r="65" spans="1:8" x14ac:dyDescent="0.45">
      <c r="A65" s="2">
        <v>45819</v>
      </c>
      <c r="B65">
        <v>142.80625915527341</v>
      </c>
      <c r="C65">
        <v>136.38999938964841</v>
      </c>
      <c r="D65">
        <f t="shared" si="0"/>
        <v>1.0470434767529735</v>
      </c>
      <c r="E65">
        <f t="shared" si="1"/>
        <v>0</v>
      </c>
      <c r="F65">
        <f t="shared" si="2"/>
        <v>1</v>
      </c>
      <c r="G65" s="3">
        <f>E65*((B65-B64)/B64)+F65*((C65-C64)/C64)</f>
        <v>2.6955815803514027E-2</v>
      </c>
      <c r="H65">
        <f>E65*(((B65-B64)/B64) - ((C65-C64)/C64))+F65*(((C65-C64)/C64)-((B65-B64)/B64))</f>
        <v>3.4736387750665863E-2</v>
      </c>
    </row>
    <row r="66" spans="1:8" x14ac:dyDescent="0.45">
      <c r="A66" s="2">
        <v>45820</v>
      </c>
      <c r="B66">
        <v>144.97590637207031</v>
      </c>
      <c r="C66">
        <v>135.19000244140619</v>
      </c>
      <c r="D66">
        <f t="shared" si="0"/>
        <v>1.0723862989417838</v>
      </c>
      <c r="E66">
        <f t="shared" si="1"/>
        <v>0</v>
      </c>
      <c r="F66">
        <f t="shared" si="2"/>
        <v>1</v>
      </c>
      <c r="G66" s="3">
        <f>E66*((B66-B65)/B65)+F66*((C66-C65)/C65)</f>
        <v>-8.7982766596690232E-3</v>
      </c>
      <c r="H66">
        <f>E66*(((B66-B65)/B65) - ((C66-C65)/C65))+F66*(((C66-C65)/C65)-((B66-B65)/B65))</f>
        <v>-2.3991218689176592E-2</v>
      </c>
    </row>
    <row r="67" spans="1:8" x14ac:dyDescent="0.45">
      <c r="A67" s="2">
        <v>45821</v>
      </c>
      <c r="B67">
        <v>141.94639587402341</v>
      </c>
      <c r="C67">
        <v>137.3999938964844</v>
      </c>
      <c r="D67">
        <f t="shared" ref="D67:D130" si="3">B67/C67</f>
        <v>1.0330888077110412</v>
      </c>
      <c r="E67">
        <f t="shared" si="1"/>
        <v>0</v>
      </c>
      <c r="F67">
        <f t="shared" si="2"/>
        <v>1</v>
      </c>
      <c r="G67" s="3">
        <f>E67*((B67-B66)/B66)+F67*((C67-C66)/C66)</f>
        <v>1.6347299468657536E-2</v>
      </c>
      <c r="H67">
        <f>E67*(((B67-B66)/B66) - ((C67-C66)/C66))+F67*(((C67-C66)/C66)-((B67-B66)/B66))</f>
        <v>3.7243947565975724E-2</v>
      </c>
    </row>
    <row r="68" spans="1:8" x14ac:dyDescent="0.45">
      <c r="A68" s="2">
        <v>45824</v>
      </c>
      <c r="B68">
        <v>144.66595458984381</v>
      </c>
      <c r="C68">
        <v>141.4100036621094</v>
      </c>
      <c r="D68">
        <f t="shared" si="3"/>
        <v>1.0230248981218775</v>
      </c>
      <c r="E68">
        <f t="shared" si="1"/>
        <v>0</v>
      </c>
      <c r="F68">
        <f t="shared" si="2"/>
        <v>1</v>
      </c>
      <c r="G68" s="3">
        <f>E68*((B68-B67)/B67)+F68*((C68-C67)/C67)</f>
        <v>2.9184934088469436E-2</v>
      </c>
      <c r="H68">
        <f>E68*(((B68-B67)/B67) - ((C68-C67)/C67))+F68*(((C68-C67)/C67)-((B68-B67)/B67))</f>
        <v>1.0025879720974327E-2</v>
      </c>
    </row>
    <row r="69" spans="1:8" x14ac:dyDescent="0.45">
      <c r="A69" s="2">
        <v>45825</v>
      </c>
      <c r="B69">
        <v>144.0960388183594</v>
      </c>
      <c r="C69">
        <v>138.19999694824219</v>
      </c>
      <c r="D69">
        <f t="shared" si="3"/>
        <v>1.0426631114349834</v>
      </c>
      <c r="E69">
        <f t="shared" si="1"/>
        <v>0</v>
      </c>
      <c r="F69">
        <f t="shared" si="2"/>
        <v>1</v>
      </c>
      <c r="G69" s="3">
        <f>E69*((B69-B68)/B68)+F69*((C69-C68)/C68)</f>
        <v>-2.2699997388709016E-2</v>
      </c>
      <c r="H69">
        <f>E69*(((B69-B68)/B68) - ((C69-C68)/C68))+F69*(((C69-C68)/C68)-((B69-B68)/B68))</f>
        <v>-1.8760468056460623E-2</v>
      </c>
    </row>
    <row r="70" spans="1:8" x14ac:dyDescent="0.45">
      <c r="A70" s="2">
        <v>45826</v>
      </c>
      <c r="B70">
        <v>145.455810546875</v>
      </c>
      <c r="C70">
        <v>139.96000671386719</v>
      </c>
      <c r="D70">
        <f t="shared" si="3"/>
        <v>1.0392669589123655</v>
      </c>
      <c r="E70">
        <f t="shared" si="1"/>
        <v>0</v>
      </c>
      <c r="F70">
        <f t="shared" si="2"/>
        <v>1</v>
      </c>
      <c r="G70" s="3">
        <f>E70*((B70-B69)/B69)+F70*((C70-C69)/C69)</f>
        <v>1.2735237369680609E-2</v>
      </c>
      <c r="H70">
        <f>E70*(((B70-B69)/B69) - ((C70-C69)/C69))+F70*(((C70-C69)/C69)-((B70-B69)/B69))</f>
        <v>3.2986717314699709E-3</v>
      </c>
    </row>
    <row r="71" spans="1:8" x14ac:dyDescent="0.45">
      <c r="A71" s="2">
        <v>45828</v>
      </c>
      <c r="B71">
        <v>143.82609558105469</v>
      </c>
      <c r="C71">
        <v>137.30000305175781</v>
      </c>
      <c r="D71">
        <f t="shared" si="3"/>
        <v>1.0475316269791832</v>
      </c>
      <c r="E71">
        <f t="shared" si="1"/>
        <v>0</v>
      </c>
      <c r="F71">
        <f t="shared" si="2"/>
        <v>1</v>
      </c>
      <c r="G71" s="3">
        <f>E71*((B71-B70)/B70)+F71*((C71-C70)/C70)</f>
        <v>-1.90054553766024E-2</v>
      </c>
      <c r="H71">
        <f>E71*(((B71-B70)/B70) - ((C71-C70)/C70))+F71*(((C71-C70)/C70)-((B71-B70)/B70))</f>
        <v>-7.8012624351652751E-3</v>
      </c>
    </row>
    <row r="72" spans="1:8" x14ac:dyDescent="0.45">
      <c r="A72" s="2">
        <v>45831</v>
      </c>
      <c r="B72">
        <v>144.14604187011719</v>
      </c>
      <c r="C72">
        <v>139.91999816894531</v>
      </c>
      <c r="D72">
        <f t="shared" si="3"/>
        <v>1.0302032858524568</v>
      </c>
      <c r="E72">
        <f t="shared" si="1"/>
        <v>0</v>
      </c>
      <c r="F72">
        <f t="shared" si="2"/>
        <v>1</v>
      </c>
      <c r="G72" s="3">
        <f>E72*((B72-B71)/B71)+F72*((C72-C71)/C71)</f>
        <v>1.9082265542265456E-2</v>
      </c>
      <c r="H72">
        <f>E72*(((B72-B71)/B71) - ((C72-C71)/C71))+F72*(((C72-C71)/C71)-((B72-B71)/B71))</f>
        <v>1.6857729808538394E-2</v>
      </c>
    </row>
    <row r="73" spans="1:8" x14ac:dyDescent="0.45">
      <c r="A73" s="2">
        <v>45832</v>
      </c>
      <c r="B73">
        <v>147.87541198730469</v>
      </c>
      <c r="C73">
        <v>143.22999572753909</v>
      </c>
      <c r="D73">
        <f t="shared" si="3"/>
        <v>1.0324332639693881</v>
      </c>
      <c r="E73">
        <f t="shared" si="1"/>
        <v>0</v>
      </c>
      <c r="F73">
        <f t="shared" si="2"/>
        <v>1</v>
      </c>
      <c r="G73" s="3">
        <f>E73*((B73-B72)/B72)+F73*((C73-C72)/C72)</f>
        <v>2.3656357932460431E-2</v>
      </c>
      <c r="H73">
        <f>E73*(((B73-B72)/B72) - ((C73-C72)/C72))+F73*(((C73-C72)/C72)-((B73-B72)/B72))</f>
        <v>-2.2158066362195014E-3</v>
      </c>
    </row>
    <row r="74" spans="1:8" x14ac:dyDescent="0.45">
      <c r="A74" s="2">
        <v>45833</v>
      </c>
      <c r="B74">
        <v>154.28436279296881</v>
      </c>
      <c r="C74">
        <v>142.8999938964844</v>
      </c>
      <c r="D74">
        <f t="shared" si="3"/>
        <v>1.0796666856734167</v>
      </c>
      <c r="E74">
        <f t="shared" si="1"/>
        <v>1</v>
      </c>
      <c r="F74">
        <f t="shared" si="2"/>
        <v>0</v>
      </c>
      <c r="G74" s="3">
        <f>E74*((B74-B73)/B73)+F74*((C74-C73)/C73)</f>
        <v>4.3340205917494497E-2</v>
      </c>
      <c r="H74">
        <f>E74*(((B74-B73)/B73) - ((C74-C73)/C73))+F74*(((C74-C73)/C73)-((B74-B73)/B73))</f>
        <v>4.5644205365224969E-2</v>
      </c>
    </row>
    <row r="75" spans="1:8" x14ac:dyDescent="0.45">
      <c r="A75" s="2">
        <v>45834</v>
      </c>
      <c r="B75">
        <v>154.9942321777344</v>
      </c>
      <c r="C75">
        <v>144.25</v>
      </c>
      <c r="D75">
        <f t="shared" si="3"/>
        <v>1.0744834119773616</v>
      </c>
      <c r="E75">
        <f t="shared" si="1"/>
        <v>1</v>
      </c>
      <c r="F75">
        <f t="shared" si="2"/>
        <v>0</v>
      </c>
      <c r="G75" s="3">
        <f>E75*((B75-B74)/B74)+F75*((C75-C74)/C74)</f>
        <v>4.601045575293697E-3</v>
      </c>
      <c r="H75">
        <f>E75*(((B75-B74)/B74) - ((C75-C74)/C74))+F75*(((C75-C74)/C74)-((B75-B74)/B74))</f>
        <v>-4.8461633902541256E-3</v>
      </c>
    </row>
    <row r="76" spans="1:8" x14ac:dyDescent="0.45">
      <c r="A76" s="2">
        <v>45835</v>
      </c>
      <c r="B76">
        <v>157.72377014160159</v>
      </c>
      <c r="C76">
        <v>130.74000549316409</v>
      </c>
      <c r="D76">
        <f t="shared" si="3"/>
        <v>1.2063925616849418</v>
      </c>
      <c r="E76">
        <f t="shared" si="1"/>
        <v>1</v>
      </c>
      <c r="F76">
        <f t="shared" si="2"/>
        <v>0</v>
      </c>
      <c r="G76" s="3">
        <f>E76*((B76-B75)/B75)+F76*((C76-C75)/C75)</f>
        <v>1.7610577668059169E-2</v>
      </c>
      <c r="H76">
        <f>E76*(((B76-B75)/B75) - ((C76-C75)/C75))+F76*(((C76-C75)/C75)-((B76-B75)/B75))</f>
        <v>0.1112673853410984</v>
      </c>
    </row>
    <row r="77" spans="1:8" x14ac:dyDescent="0.45">
      <c r="A77" s="2">
        <v>45838</v>
      </c>
      <c r="B77">
        <v>157.96376037597659</v>
      </c>
      <c r="C77">
        <v>136.32000732421881</v>
      </c>
      <c r="D77">
        <f t="shared" si="3"/>
        <v>1.1587716541144326</v>
      </c>
      <c r="E77">
        <f t="shared" si="1"/>
        <v>1</v>
      </c>
      <c r="F77">
        <f t="shared" si="2"/>
        <v>0</v>
      </c>
      <c r="G77" s="3">
        <f>E77*((B77-B76)/B76)+F77*((C77-C76)/C76)</f>
        <v>1.5215857074652795E-3</v>
      </c>
      <c r="H77">
        <f>E77*(((B77-B76)/B76) - ((C77-C76)/C76))+F77*(((C77-C76)/C76)-((B77-B76)/B76))</f>
        <v>-4.1158555003913792E-2</v>
      </c>
    </row>
    <row r="78" spans="1:8" x14ac:dyDescent="0.45">
      <c r="A78" s="2">
        <v>45839</v>
      </c>
      <c r="B78">
        <v>153.2745361328125</v>
      </c>
      <c r="C78">
        <v>130.67999267578119</v>
      </c>
      <c r="D78">
        <f t="shared" si="3"/>
        <v>1.1728997912717112</v>
      </c>
      <c r="E78">
        <f t="shared" si="1"/>
        <v>1</v>
      </c>
      <c r="F78">
        <f t="shared" si="2"/>
        <v>0</v>
      </c>
      <c r="G78" s="3">
        <f>E78*((B78-B77)/B77)+F78*((C78-C77)/C77)</f>
        <v>-2.9685443243456976E-2</v>
      </c>
      <c r="H78">
        <f>E78*(((B78-B77)/B77) - ((C78-C77)/C77))+F78*(((C78-C77)/C77)-((B78-B77)/B77))</f>
        <v>1.1687901426512104E-2</v>
      </c>
    </row>
    <row r="79" spans="1:8" x14ac:dyDescent="0.45">
      <c r="A79" s="2">
        <v>45840</v>
      </c>
      <c r="B79">
        <v>157.22386169433591</v>
      </c>
      <c r="C79">
        <v>132.1199951171875</v>
      </c>
      <c r="D79">
        <f t="shared" si="3"/>
        <v>1.1900080798132171</v>
      </c>
      <c r="E79">
        <f t="shared" si="1"/>
        <v>1</v>
      </c>
      <c r="F79">
        <f t="shared" si="2"/>
        <v>0</v>
      </c>
      <c r="G79" s="3">
        <f>E79*((B79-B78)/B78)+F79*((C79-C78)/C78)</f>
        <v>2.5766351418616041E-2</v>
      </c>
      <c r="H79">
        <f>E79*(((B79-B78)/B78) - ((C79-C78)/C78))+F79*(((C79-C78)/C78)-((B79-B78)/B78))</f>
        <v>1.4747048372135375E-2</v>
      </c>
    </row>
    <row r="80" spans="1:8" x14ac:dyDescent="0.45">
      <c r="A80" s="2">
        <v>45841</v>
      </c>
      <c r="B80">
        <v>159.31352233886719</v>
      </c>
      <c r="C80">
        <v>134.36000061035159</v>
      </c>
      <c r="D80">
        <f t="shared" si="3"/>
        <v>1.1857213576597221</v>
      </c>
      <c r="E80">
        <f t="shared" ref="E80:E143" si="4">IF(D80&gt;(AVERAGE(D67:D79)),1,0)</f>
        <v>1</v>
      </c>
      <c r="F80">
        <f t="shared" ref="F80:F143" si="5">IF(D80&lt;(AVERAGE(D67:D79)),1,0)</f>
        <v>0</v>
      </c>
      <c r="G80" s="3">
        <f>E80*((B80-B79)/B79)+F80*((C80-C79)/C79)</f>
        <v>1.3290989179453285E-2</v>
      </c>
      <c r="H80">
        <f>E80*(((B80-B79)/B79) - ((C80-C79)/C79))+F80*(((C80-C79)/C79)-((B80-B79)/B79))</f>
        <v>-3.6633370084734988E-3</v>
      </c>
    </row>
    <row r="81" spans="1:8" x14ac:dyDescent="0.45">
      <c r="A81" s="2">
        <v>45845</v>
      </c>
      <c r="B81">
        <v>158.2137145996094</v>
      </c>
      <c r="C81">
        <v>139.1199951171875</v>
      </c>
      <c r="D81">
        <f t="shared" si="3"/>
        <v>1.1372464070771304</v>
      </c>
      <c r="E81">
        <f t="shared" si="4"/>
        <v>1</v>
      </c>
      <c r="F81">
        <f t="shared" si="5"/>
        <v>0</v>
      </c>
      <c r="G81" s="3">
        <f>E81*((B81-B80)/B80)+F81*((C81-C80)/C80)</f>
        <v>-6.9034173817238342E-3</v>
      </c>
      <c r="H81">
        <f>E81*(((B81-B80)/B80) - ((C81-C80)/C80))+F81*(((C81-C80)/C80)-((B81-B80)/B80))</f>
        <v>-4.2330586816175159E-2</v>
      </c>
    </row>
    <row r="82" spans="1:8" x14ac:dyDescent="0.45">
      <c r="A82" s="2">
        <v>45846</v>
      </c>
      <c r="B82">
        <v>159.97340393066409</v>
      </c>
      <c r="C82">
        <v>139.71000671386719</v>
      </c>
      <c r="D82">
        <f t="shared" si="3"/>
        <v>1.1450389824853227</v>
      </c>
      <c r="E82">
        <f t="shared" si="4"/>
        <v>1</v>
      </c>
      <c r="F82">
        <f t="shared" si="5"/>
        <v>0</v>
      </c>
      <c r="G82" s="3">
        <f>E82*((B82-B81)/B81)+F82*((C82-C81)/C81)</f>
        <v>1.1122230051344941E-2</v>
      </c>
      <c r="H82">
        <f>E82*(((B82-B81)/B81) - ((C82-C81)/C81))+F82*(((C82-C81)/C81)-((B82-B81)/B81))</f>
        <v>6.8812034743766758E-3</v>
      </c>
    </row>
    <row r="83" spans="1:8" x14ac:dyDescent="0.45">
      <c r="A83" s="2">
        <v>45847</v>
      </c>
      <c r="B83">
        <v>162.8529357910156</v>
      </c>
      <c r="C83">
        <v>143.1300048828125</v>
      </c>
      <c r="D83">
        <f t="shared" si="3"/>
        <v>1.137797318768704</v>
      </c>
      <c r="E83">
        <f t="shared" si="4"/>
        <v>1</v>
      </c>
      <c r="F83">
        <f t="shared" si="5"/>
        <v>0</v>
      </c>
      <c r="G83" s="3">
        <f>E83*((B83-B82)/B82)+F83*((C83-C82)/C82)</f>
        <v>1.8000066196000659E-2</v>
      </c>
      <c r="H83">
        <f>E83*(((B83-B82)/B82) - ((C83-C82)/C82))+F83*(((C83-C82)/C82)-((B83-B82)/B82))</f>
        <v>-6.4791980269954322E-3</v>
      </c>
    </row>
    <row r="84" spans="1:8" x14ac:dyDescent="0.45">
      <c r="A84" s="2">
        <v>45848</v>
      </c>
      <c r="B84">
        <v>164.07273864746091</v>
      </c>
      <c r="C84">
        <v>142.5</v>
      </c>
      <c r="D84">
        <f t="shared" si="3"/>
        <v>1.1513876396313045</v>
      </c>
      <c r="E84">
        <f t="shared" si="4"/>
        <v>1</v>
      </c>
      <c r="F84">
        <f t="shared" si="5"/>
        <v>0</v>
      </c>
      <c r="G84" s="3">
        <f>E84*((B84-B83)/B83)+F84*((C84-C83)/C83)</f>
        <v>7.4902110331658365E-3</v>
      </c>
      <c r="H84">
        <f>E84*(((B84-B83)/B83) - ((C84-C83)/C83))+F84*(((C84-C83)/C83)-((B84-B83)/B83))</f>
        <v>1.1891837954986426E-2</v>
      </c>
    </row>
    <row r="85" spans="1:8" x14ac:dyDescent="0.45">
      <c r="A85" s="2">
        <v>45849</v>
      </c>
      <c r="B85">
        <v>164.89259338378909</v>
      </c>
      <c r="C85">
        <v>142.1000061035156</v>
      </c>
      <c r="D85">
        <f t="shared" si="3"/>
        <v>1.1603982146465903</v>
      </c>
      <c r="E85">
        <f t="shared" si="4"/>
        <v>1</v>
      </c>
      <c r="F85">
        <f t="shared" si="5"/>
        <v>0</v>
      </c>
      <c r="G85" s="3">
        <f>E85*((B85-B84)/B84)+F85*((C85-C84)/C84)</f>
        <v>4.9968979800464218E-3</v>
      </c>
      <c r="H85">
        <f>E85*(((B85-B84)/B84) - ((C85-C84)/C84))+F85*(((C85-C84)/C84)-((B85-B84)/B84))</f>
        <v>7.8038726922176737E-3</v>
      </c>
    </row>
    <row r="86" spans="1:8" x14ac:dyDescent="0.45">
      <c r="A86" s="2">
        <v>45852</v>
      </c>
      <c r="B86">
        <v>164.04273986816409</v>
      </c>
      <c r="C86">
        <v>149.1499938964844</v>
      </c>
      <c r="D86">
        <f t="shared" si="3"/>
        <v>1.0998507983983949</v>
      </c>
      <c r="E86">
        <f t="shared" si="4"/>
        <v>0</v>
      </c>
      <c r="F86">
        <f t="shared" si="5"/>
        <v>1</v>
      </c>
      <c r="G86" s="3">
        <f>E86*((B86-B85)/B85)+F86*((C86-C85)/C85)</f>
        <v>4.9612860592230391E-2</v>
      </c>
      <c r="H86">
        <f>E86*(((B86-B85)/B85) - ((C86-C85)/C85))+F86*(((C86-C85)/C85)-((B86-B85)/B85))</f>
        <v>5.4766842940285027E-2</v>
      </c>
    </row>
    <row r="87" spans="1:8" x14ac:dyDescent="0.45">
      <c r="A87" s="2">
        <v>45853</v>
      </c>
      <c r="B87">
        <v>170.671630859375</v>
      </c>
      <c r="C87">
        <v>148.58000183105469</v>
      </c>
      <c r="D87">
        <f t="shared" si="3"/>
        <v>1.1486850771037138</v>
      </c>
      <c r="E87">
        <f t="shared" si="4"/>
        <v>1</v>
      </c>
      <c r="F87">
        <f t="shared" si="5"/>
        <v>0</v>
      </c>
      <c r="G87" s="3">
        <f>E87*((B87-B86)/B86)+F87*((C87-C86)/C86)</f>
        <v>4.0409535932759581E-2</v>
      </c>
      <c r="H87">
        <f>E87*(((B87-B86)/B86) - ((C87-C86)/C86))+F87*(((C87-C86)/C86)-((B87-B86)/B86))</f>
        <v>4.4231138941508687E-2</v>
      </c>
    </row>
    <row r="88" spans="1:8" x14ac:dyDescent="0.45">
      <c r="A88" s="2">
        <v>45854</v>
      </c>
      <c r="B88">
        <v>171.3415222167969</v>
      </c>
      <c r="C88">
        <v>150.9100036621094</v>
      </c>
      <c r="D88">
        <f t="shared" si="3"/>
        <v>1.1353887619036449</v>
      </c>
      <c r="E88">
        <f t="shared" si="4"/>
        <v>0</v>
      </c>
      <c r="F88">
        <f t="shared" si="5"/>
        <v>1</v>
      </c>
      <c r="G88" s="3">
        <f>E88*((B88-B87)/B87)+F88*((C88-C87)/C87)</f>
        <v>1.5681799719615582E-2</v>
      </c>
      <c r="H88">
        <f>E88*(((B88-B87)/B87) - ((C88-C87)/C87))+F88*(((C88-C87)/C87)-((B88-B87)/B87))</f>
        <v>1.1756769214845513E-2</v>
      </c>
    </row>
    <row r="89" spans="1:8" x14ac:dyDescent="0.45">
      <c r="A89" s="2">
        <v>45855</v>
      </c>
      <c r="B89">
        <v>172.97125244140619</v>
      </c>
      <c r="C89">
        <v>153.99000549316409</v>
      </c>
      <c r="D89">
        <f t="shared" si="3"/>
        <v>1.123262849997656</v>
      </c>
      <c r="E89">
        <f t="shared" si="4"/>
        <v>0</v>
      </c>
      <c r="F89">
        <f t="shared" si="5"/>
        <v>1</v>
      </c>
      <c r="G89" s="3">
        <f>E89*((B89-B88)/B88)+F89*((C89-C88)/C88)</f>
        <v>2.0409527243474692E-2</v>
      </c>
      <c r="H89">
        <f>E89*(((B89-B88)/B88) - ((C89-C88)/C88))+F89*(((C89-C88)/C88)-((B89-B88)/B88))</f>
        <v>1.0897937737766867E-2</v>
      </c>
    </row>
    <row r="90" spans="1:8" x14ac:dyDescent="0.45">
      <c r="A90" s="2">
        <v>45856</v>
      </c>
      <c r="B90">
        <v>172.38134765625</v>
      </c>
      <c r="C90">
        <v>153.52000427246091</v>
      </c>
      <c r="D90">
        <f t="shared" si="3"/>
        <v>1.1228591900656462</v>
      </c>
      <c r="E90">
        <f t="shared" si="4"/>
        <v>0</v>
      </c>
      <c r="F90">
        <f t="shared" si="5"/>
        <v>1</v>
      </c>
      <c r="G90" s="3">
        <f>E90*((B90-B89)/B89)+F90*((C90-C89)/C89)</f>
        <v>-3.0521540615442481E-3</v>
      </c>
      <c r="H90">
        <f>E90*(((B90-B89)/B89) - ((C90-C89)/C89))+F90*(((C90-C89)/C89)-((B90-B89)/B89))</f>
        <v>3.5826690049406938E-4</v>
      </c>
    </row>
    <row r="91" spans="1:8" x14ac:dyDescent="0.45">
      <c r="A91" s="2">
        <v>45859</v>
      </c>
      <c r="B91">
        <v>171.3515319824219</v>
      </c>
      <c r="C91">
        <v>151.78999328613281</v>
      </c>
      <c r="D91">
        <f t="shared" si="3"/>
        <v>1.1288723865967534</v>
      </c>
      <c r="E91">
        <f t="shared" si="4"/>
        <v>0</v>
      </c>
      <c r="F91">
        <f t="shared" si="5"/>
        <v>1</v>
      </c>
      <c r="G91" s="3">
        <f>E91*((B91-B90)/B90)+F91*((C91-C90)/C90)</f>
        <v>-1.1268961296130146E-2</v>
      </c>
      <c r="H91">
        <f>E91*(((B91-B90)/B90) - ((C91-C90)/C90))+F91*(((C91-C90)/C90)-((B91-B90)/B90))</f>
        <v>-5.2949061687640568E-3</v>
      </c>
    </row>
    <row r="92" spans="1:8" x14ac:dyDescent="0.45">
      <c r="A92" s="2">
        <v>45860</v>
      </c>
      <c r="B92">
        <v>167.00225830078119</v>
      </c>
      <c r="C92">
        <v>149.07000732421881</v>
      </c>
      <c r="D92">
        <f t="shared" si="3"/>
        <v>1.120294157748049</v>
      </c>
      <c r="E92">
        <f t="shared" si="4"/>
        <v>0</v>
      </c>
      <c r="F92">
        <f t="shared" si="5"/>
        <v>1</v>
      </c>
      <c r="G92" s="3">
        <f>E92*((B92-B91)/B91)+F92*((C92-C91)/C91)</f>
        <v>-1.7919402346811338E-2</v>
      </c>
      <c r="H92">
        <f>E92*(((B92-B91)/B91) - ((C92-C91)/C91))+F92*(((C92-C91)/C91)-((B92-B91)/B91))</f>
        <v>7.4627674611999519E-3</v>
      </c>
    </row>
    <row r="93" spans="1:8" x14ac:dyDescent="0.45">
      <c r="A93" s="2">
        <v>45861</v>
      </c>
      <c r="B93">
        <v>170.7516174316406</v>
      </c>
      <c r="C93">
        <v>154.6300048828125</v>
      </c>
      <c r="D93">
        <f t="shared" si="3"/>
        <v>1.1042592772408304</v>
      </c>
      <c r="E93">
        <f t="shared" si="4"/>
        <v>0</v>
      </c>
      <c r="F93">
        <f t="shared" si="5"/>
        <v>1</v>
      </c>
      <c r="G93" s="3">
        <f>E93*((B93-B92)/B92)+F93*((C93-C92)/C92)</f>
        <v>3.7297895521672675E-2</v>
      </c>
      <c r="H93">
        <f>E93*(((B93-B92)/B92) - ((C93-C92)/C92))+F93*(((C93-C92)/C92)-((B93-B92)/B92))</f>
        <v>1.4846946839849582E-2</v>
      </c>
    </row>
    <row r="94" spans="1:8" x14ac:dyDescent="0.45">
      <c r="A94" s="2">
        <v>45862</v>
      </c>
      <c r="B94">
        <v>173.71113586425781</v>
      </c>
      <c r="C94">
        <v>154.86000061035159</v>
      </c>
      <c r="D94">
        <f t="shared" si="3"/>
        <v>1.1217301768023247</v>
      </c>
      <c r="E94">
        <f t="shared" si="4"/>
        <v>0</v>
      </c>
      <c r="F94">
        <f t="shared" si="5"/>
        <v>1</v>
      </c>
      <c r="G94" s="3">
        <f>E94*((B94-B93)/B93)+F94*((C94-C93)/C93)</f>
        <v>1.4873939098262003E-3</v>
      </c>
      <c r="H94">
        <f>E94*(((B94-B93)/B93) - ((C94-C93)/C93))+F94*(((C94-C93)/C93)-((B94-B93)/B93))</f>
        <v>-1.5844907108066304E-2</v>
      </c>
    </row>
    <row r="95" spans="1:8" x14ac:dyDescent="0.45">
      <c r="A95" s="2">
        <v>45863</v>
      </c>
      <c r="B95">
        <v>173.47117614746091</v>
      </c>
      <c r="C95">
        <v>158.80000305175781</v>
      </c>
      <c r="D95">
        <f t="shared" si="3"/>
        <v>1.0923877381219023</v>
      </c>
      <c r="E95">
        <f t="shared" si="4"/>
        <v>0</v>
      </c>
      <c r="F95">
        <f t="shared" si="5"/>
        <v>1</v>
      </c>
      <c r="G95" s="3">
        <f>E95*((B95-B94)/B94)+F95*((C95-C94)/C94)</f>
        <v>2.544235067724036E-2</v>
      </c>
      <c r="H95">
        <f>E95*(((B95-B94)/B94) - ((C95-C94)/C94))+F95*(((C95-C94)/C94)-((B95-B94)/B94))</f>
        <v>2.6823722778706635E-2</v>
      </c>
    </row>
    <row r="96" spans="1:8" x14ac:dyDescent="0.45">
      <c r="A96" s="2">
        <v>45866</v>
      </c>
      <c r="B96">
        <v>176.72062683105469</v>
      </c>
      <c r="C96">
        <v>157.8800048828125</v>
      </c>
      <c r="D96">
        <f t="shared" si="3"/>
        <v>1.1193350732553293</v>
      </c>
      <c r="E96">
        <f t="shared" si="4"/>
        <v>0</v>
      </c>
      <c r="F96">
        <f t="shared" si="5"/>
        <v>1</v>
      </c>
      <c r="G96" s="3">
        <f>E96*((B96-B95)/B95)+F96*((C96-C95)/C95)</f>
        <v>-5.7934392397049062E-3</v>
      </c>
      <c r="H96">
        <f>E96*(((B96-B95)/B95) - ((C96-C95)/C95))+F96*(((C96-C95)/C95)-((B96-B95)/B95))</f>
        <v>-2.452537359190847E-2</v>
      </c>
    </row>
    <row r="97" spans="1:8" x14ac:dyDescent="0.45">
      <c r="A97" s="2">
        <v>45867</v>
      </c>
      <c r="B97">
        <v>175.4808349609375</v>
      </c>
      <c r="C97">
        <v>156.24000549316409</v>
      </c>
      <c r="D97">
        <f t="shared" si="3"/>
        <v>1.1231491858121783</v>
      </c>
      <c r="E97">
        <f t="shared" si="4"/>
        <v>0</v>
      </c>
      <c r="F97">
        <f t="shared" si="5"/>
        <v>1</v>
      </c>
      <c r="G97" s="3">
        <f>E97*((B97-B96)/B96)+F97*((C97-C96)/C96)</f>
        <v>-1.0387631992193754E-2</v>
      </c>
      <c r="H97">
        <f>E97*(((B97-B96)/B96) - ((C97-C96)/C96))+F97*(((C97-C96)/C96)-((B97-B96)/B96))</f>
        <v>-3.3720849541989681E-3</v>
      </c>
    </row>
    <row r="98" spans="1:8" x14ac:dyDescent="0.45">
      <c r="A98" s="2">
        <v>45868</v>
      </c>
      <c r="B98">
        <v>179.24021911621091</v>
      </c>
      <c r="C98">
        <v>158.61000061035159</v>
      </c>
      <c r="D98">
        <f t="shared" si="3"/>
        <v>1.1300688381972863</v>
      </c>
      <c r="E98">
        <f t="shared" si="4"/>
        <v>1</v>
      </c>
      <c r="F98">
        <f t="shared" si="5"/>
        <v>0</v>
      </c>
      <c r="G98" s="3">
        <f>E98*((B98-B97)/B97)+F98*((C98-C97)/C97)</f>
        <v>2.1423331819171353E-2</v>
      </c>
      <c r="H98">
        <f>E98*(((B98-B97)/B97) - ((C98-C97)/C97))+F98*(((C98-C97)/C97)-((B98-B97)/B97))</f>
        <v>6.2543927903565243E-3</v>
      </c>
    </row>
    <row r="99" spans="1:8" x14ac:dyDescent="0.45">
      <c r="A99" s="2">
        <v>45869</v>
      </c>
      <c r="B99">
        <v>177.84043884277341</v>
      </c>
      <c r="C99">
        <v>158.3500061035156</v>
      </c>
      <c r="D99">
        <f t="shared" si="3"/>
        <v>1.1230845089233319</v>
      </c>
      <c r="E99">
        <f t="shared" si="4"/>
        <v>1</v>
      </c>
      <c r="F99">
        <f t="shared" si="5"/>
        <v>0</v>
      </c>
      <c r="G99" s="3">
        <f>E99*((B99-B98)/B98)+F99*((C99-C98)/C98)</f>
        <v>-7.8095211015667661E-3</v>
      </c>
      <c r="H99">
        <f>E99*(((B99-B98)/B98) - ((C99-C98)/C98))+F99*(((C99-C98)/C98)-((B99-B98)/B98))</f>
        <v>-6.170314835659811E-3</v>
      </c>
    </row>
    <row r="100" spans="1:8" x14ac:dyDescent="0.45">
      <c r="A100" s="2">
        <v>45870</v>
      </c>
      <c r="B100">
        <v>173.6911315917969</v>
      </c>
      <c r="C100">
        <v>154.27000427246091</v>
      </c>
      <c r="D100">
        <f t="shared" si="3"/>
        <v>1.1258904957637503</v>
      </c>
      <c r="E100">
        <f t="shared" si="4"/>
        <v>1</v>
      </c>
      <c r="F100">
        <f t="shared" si="5"/>
        <v>0</v>
      </c>
      <c r="G100" s="3">
        <f>E100*((B100-B99)/B99)+F100*((C100-C99)/C99)</f>
        <v>-2.3331629622466564E-2</v>
      </c>
      <c r="H100">
        <f>E100*(((B100-B99)/B99) - ((C100-C99)/C99))+F100*(((C100-C99)/C99)-((B100-B99)/B99))</f>
        <v>2.4340898204966016E-3</v>
      </c>
    </row>
    <row r="101" spans="1:8" x14ac:dyDescent="0.45">
      <c r="A101" s="2">
        <v>45873</v>
      </c>
      <c r="B101">
        <v>179.9700927734375</v>
      </c>
      <c r="C101">
        <v>160.6600036621094</v>
      </c>
      <c r="D101">
        <f t="shared" si="3"/>
        <v>1.1201922611177075</v>
      </c>
      <c r="E101">
        <f t="shared" si="4"/>
        <v>0</v>
      </c>
      <c r="F101">
        <f t="shared" si="5"/>
        <v>1</v>
      </c>
      <c r="G101" s="3">
        <f>E101*((B101-B100)/B100)+F101*((C101-C100)/C100)</f>
        <v>4.1420880357032487E-2</v>
      </c>
      <c r="H101">
        <f>E101*(((B101-B100)/B100) - ((C101-C100)/C100))+F101*(((C101-C100)/C100)-((B101-B100)/B100))</f>
        <v>5.2707262064037655E-3</v>
      </c>
    </row>
    <row r="102" spans="1:8" x14ac:dyDescent="0.45">
      <c r="A102" s="2">
        <v>45874</v>
      </c>
      <c r="B102">
        <v>178.2303771972656</v>
      </c>
      <c r="C102">
        <v>173.27000427246091</v>
      </c>
      <c r="D102">
        <f t="shared" si="3"/>
        <v>1.0286279956281681</v>
      </c>
      <c r="E102">
        <f t="shared" si="4"/>
        <v>0</v>
      </c>
      <c r="F102">
        <f t="shared" si="5"/>
        <v>1</v>
      </c>
      <c r="G102" s="3">
        <f>E102*((B102-B101)/B101)+F102*((C102-C101)/C101)</f>
        <v>7.8488735982305283E-2</v>
      </c>
      <c r="H102">
        <f>E102*(((B102-B101)/B101) - ((C102-C101)/C101))+F102*(((C102-C101)/C101)-((B102-B101)/B101))</f>
        <v>8.8155428649747611E-2</v>
      </c>
    </row>
    <row r="103" spans="1:8" x14ac:dyDescent="0.45">
      <c r="A103" s="2">
        <v>45875</v>
      </c>
      <c r="B103">
        <v>179.39018249511719</v>
      </c>
      <c r="C103">
        <v>179.53999328613281</v>
      </c>
      <c r="D103">
        <f t="shared" si="3"/>
        <v>0.9991655854037107</v>
      </c>
      <c r="E103">
        <f t="shared" si="4"/>
        <v>0</v>
      </c>
      <c r="F103">
        <f t="shared" si="5"/>
        <v>1</v>
      </c>
      <c r="G103" s="3">
        <f>E103*((B103-B102)/B102)+F103*((C103-C102)/C102)</f>
        <v>3.6186234541857397E-2</v>
      </c>
      <c r="H103">
        <f>E103*(((B103-B102)/B102) - ((C103-C102)/C102))+F103*(((C103-C102)/C102)-((B103-B102)/B102))</f>
        <v>2.9678896589203474E-2</v>
      </c>
    </row>
    <row r="104" spans="1:8" x14ac:dyDescent="0.45">
      <c r="A104" s="2">
        <v>45876</v>
      </c>
      <c r="B104">
        <v>180.73997497558591</v>
      </c>
      <c r="C104">
        <v>182.19999694824219</v>
      </c>
      <c r="D104">
        <f t="shared" si="3"/>
        <v>0.99198670693133417</v>
      </c>
      <c r="E104">
        <f t="shared" si="4"/>
        <v>0</v>
      </c>
      <c r="F104">
        <f t="shared" si="5"/>
        <v>1</v>
      </c>
      <c r="G104" s="3">
        <f>E104*((B104-B103)/B103)+F104*((C104-C103)/C103)</f>
        <v>1.4815660920016457E-2</v>
      </c>
      <c r="H104">
        <f>E104*(((B104-B103)/B103) - ((C104-C103)/C103))+F104*(((C104-C103)/C103)-((B104-B103)/B103))</f>
        <v>7.2913222873520886E-3</v>
      </c>
    </row>
    <row r="105" spans="1:8" x14ac:dyDescent="0.45">
      <c r="A105" s="2">
        <v>45877</v>
      </c>
      <c r="B105">
        <v>182.66963195800781</v>
      </c>
      <c r="C105">
        <v>186.96000671386719</v>
      </c>
      <c r="D105">
        <f t="shared" si="3"/>
        <v>0.97705191162928462</v>
      </c>
      <c r="E105">
        <f t="shared" si="4"/>
        <v>0</v>
      </c>
      <c r="F105">
        <f t="shared" si="5"/>
        <v>1</v>
      </c>
      <c r="G105" s="3">
        <f>E105*((B105-B104)/B104)+F105*((C105-C104)/C104)</f>
        <v>2.6125191247819739E-2</v>
      </c>
      <c r="H105">
        <f>E105*(((B105-B104)/B104) - ((C105-C104)/C104))+F105*(((C105-C104)/C104)-((B105-B104)/B104))</f>
        <v>1.5448765168406159E-2</v>
      </c>
    </row>
    <row r="106" spans="1:8" x14ac:dyDescent="0.45">
      <c r="A106" s="2">
        <v>45880</v>
      </c>
      <c r="B106">
        <v>182.02973937988281</v>
      </c>
      <c r="C106">
        <v>182.67999267578119</v>
      </c>
      <c r="D106">
        <f t="shared" si="3"/>
        <v>0.99644047885937659</v>
      </c>
      <c r="E106">
        <f t="shared" si="4"/>
        <v>0</v>
      </c>
      <c r="F106">
        <f t="shared" si="5"/>
        <v>1</v>
      </c>
      <c r="G106" s="3">
        <f>E106*((B106-B105)/B105)+F106*((C106-C105)/C105)</f>
        <v>-2.2892671610973671E-2</v>
      </c>
      <c r="H106">
        <f>E106*(((B106-B105)/B105) - ((C106-C105)/C105))+F106*(((C106-C105)/C105)-((B106-B105)/B105))</f>
        <v>-1.9389666917385091E-2</v>
      </c>
    </row>
    <row r="107" spans="1:8" x14ac:dyDescent="0.45">
      <c r="A107" s="2">
        <v>45881</v>
      </c>
      <c r="B107">
        <v>183.12956237792969</v>
      </c>
      <c r="C107">
        <v>186.9700012207031</v>
      </c>
      <c r="D107">
        <f t="shared" si="3"/>
        <v>0.97945959877146238</v>
      </c>
      <c r="E107">
        <f t="shared" si="4"/>
        <v>0</v>
      </c>
      <c r="F107">
        <f t="shared" si="5"/>
        <v>1</v>
      </c>
      <c r="G107" s="3">
        <f>E107*((B107-B106)/B106)+F107*((C107-C106)/C106)</f>
        <v>2.3483735038985751E-2</v>
      </c>
      <c r="H107">
        <f>E107*(((B107-B106)/B106) - ((C107-C106)/C106))+F107*(((C107-C106)/C106)-((B107-B106)/B106))</f>
        <v>1.7441738814667568E-2</v>
      </c>
    </row>
    <row r="108" spans="1:8" x14ac:dyDescent="0.45">
      <c r="A108" s="2">
        <v>45882</v>
      </c>
      <c r="B108">
        <v>181.55982971191409</v>
      </c>
      <c r="C108">
        <v>184.3699951171875</v>
      </c>
      <c r="D108">
        <f t="shared" si="3"/>
        <v>0.98475801117482675</v>
      </c>
      <c r="E108">
        <f t="shared" si="4"/>
        <v>0</v>
      </c>
      <c r="F108">
        <f t="shared" si="5"/>
        <v>1</v>
      </c>
      <c r="G108" s="3">
        <f>E108*((B108-B107)/B107)+F108*((C108-C107)/C107)</f>
        <v>-1.3906006774030545E-2</v>
      </c>
      <c r="H108">
        <f>E108*(((B108-B107)/B107) - ((C108-C107)/C107))+F108*(((C108-C107)/C107)-((B108-B107)/B107))</f>
        <v>-5.3343013342714816E-3</v>
      </c>
    </row>
    <row r="109" spans="1:8" x14ac:dyDescent="0.45">
      <c r="A109" s="2">
        <v>45883</v>
      </c>
      <c r="B109">
        <v>181.98974609375</v>
      </c>
      <c r="C109">
        <v>181.02000427246091</v>
      </c>
      <c r="D109">
        <f t="shared" si="3"/>
        <v>1.0053570975494481</v>
      </c>
      <c r="E109">
        <f t="shared" si="4"/>
        <v>0</v>
      </c>
      <c r="F109">
        <f t="shared" si="5"/>
        <v>1</v>
      </c>
      <c r="G109" s="3">
        <f>E109*((B109-B108)/B108)+F109*((C109-C108)/C108)</f>
        <v>-1.8169935094901432E-2</v>
      </c>
      <c r="H109">
        <f>E109*(((B109-B108)/B108) - ((C109-C108)/C108))+F109*(((C109-C108)/C108)-((B109-B108)/B108))</f>
        <v>-2.0537839837476202E-2</v>
      </c>
    </row>
    <row r="110" spans="1:8" x14ac:dyDescent="0.45">
      <c r="A110" s="2">
        <v>45884</v>
      </c>
      <c r="B110">
        <v>180.4200134277344</v>
      </c>
      <c r="C110">
        <v>177.16999816894531</v>
      </c>
      <c r="D110">
        <f t="shared" si="3"/>
        <v>1.0183440497396741</v>
      </c>
      <c r="E110">
        <f t="shared" si="4"/>
        <v>0</v>
      </c>
      <c r="F110">
        <f t="shared" si="5"/>
        <v>1</v>
      </c>
      <c r="G110" s="3">
        <f>E110*((B110-B109)/B109)+F110*((C110-C109)/C109)</f>
        <v>-2.126840135149256E-2</v>
      </c>
      <c r="H110">
        <f>E110*(((B110-B109)/B109) - ((C110-C109)/C109))+F110*(((C110-C109)/C109)-((B110-B109)/B109))</f>
        <v>-1.2643010637408228E-2</v>
      </c>
    </row>
    <row r="111" spans="1:8" x14ac:dyDescent="0.45">
      <c r="A111" s="2">
        <v>45887</v>
      </c>
      <c r="B111">
        <v>181.979736328125</v>
      </c>
      <c r="C111">
        <v>174.0299987792969</v>
      </c>
      <c r="D111">
        <f t="shared" si="3"/>
        <v>1.0456802712439817</v>
      </c>
      <c r="E111">
        <f t="shared" si="4"/>
        <v>1</v>
      </c>
      <c r="F111">
        <f t="shared" si="5"/>
        <v>0</v>
      </c>
      <c r="G111" s="3">
        <f>E111*((B111-B110)/B110)+F111*((C111-C110)/C110)</f>
        <v>8.6449550177831545E-3</v>
      </c>
      <c r="H111">
        <f>E111*(((B111-B110)/B110) - ((C111-C110)/C110))+F111*(((C111-C110)/C110)-((B111-B110)/B110))</f>
        <v>2.6368042572675922E-2</v>
      </c>
    </row>
    <row r="112" spans="1:8" x14ac:dyDescent="0.45">
      <c r="A112" s="2">
        <v>45888</v>
      </c>
      <c r="B112">
        <v>175.6108093261719</v>
      </c>
      <c r="C112">
        <v>157.75</v>
      </c>
      <c r="D112">
        <f t="shared" si="3"/>
        <v>1.113222246124703</v>
      </c>
      <c r="E112">
        <f t="shared" si="4"/>
        <v>1</v>
      </c>
      <c r="F112">
        <f t="shared" si="5"/>
        <v>0</v>
      </c>
      <c r="G112" s="3">
        <f>E112*((B112-B111)/B111)+F112*((C112-C111)/C111)</f>
        <v>-3.4998001043750157E-2</v>
      </c>
      <c r="H112">
        <f>E112*(((B112-B111)/B111) - ((C112-C111)/C111))+F112*(((C112-C111)/C111)-((B112-B111)/B111))</f>
        <v>5.8549082180349807E-2</v>
      </c>
    </row>
    <row r="113" spans="1:8" x14ac:dyDescent="0.45">
      <c r="A113" s="2">
        <v>45889</v>
      </c>
      <c r="B113">
        <v>175.370849609375</v>
      </c>
      <c r="C113">
        <v>156.00999450683591</v>
      </c>
      <c r="D113">
        <f t="shared" si="3"/>
        <v>1.1241000947647029</v>
      </c>
      <c r="E113">
        <f t="shared" si="4"/>
        <v>1</v>
      </c>
      <c r="F113">
        <f t="shared" si="5"/>
        <v>0</v>
      </c>
      <c r="G113" s="3">
        <f>E113*((B113-B112)/B112)+F113*((C113-C112)/C112)</f>
        <v>-1.366429080975378E-3</v>
      </c>
      <c r="H113">
        <f>E113*(((B113-B112)/B112) - ((C113-C112)/C112))+F113*(((C113-C112)/C112)-((B113-B112)/B112))</f>
        <v>9.6637166760077664E-3</v>
      </c>
    </row>
    <row r="114" spans="1:8" x14ac:dyDescent="0.45">
      <c r="A114" s="2">
        <v>45890</v>
      </c>
      <c r="B114">
        <v>174.95091247558591</v>
      </c>
      <c r="C114">
        <v>156.17999267578119</v>
      </c>
      <c r="D114">
        <f t="shared" si="3"/>
        <v>1.1201877364584838</v>
      </c>
      <c r="E114">
        <f t="shared" si="4"/>
        <v>1</v>
      </c>
      <c r="F114">
        <f t="shared" si="5"/>
        <v>0</v>
      </c>
      <c r="G114" s="3">
        <f>E114*((B114-B113)/B113)+F114*((C114-C113)/C113)</f>
        <v>-2.3945663416951473E-3</v>
      </c>
      <c r="H114">
        <f>E114*(((B114-B113)/B113) - ((C114-C113)/C113))+F114*(((C114-C113)/C113)-((B114-B113)/B113))</f>
        <v>-3.4842283821475313E-3</v>
      </c>
    </row>
    <row r="115" spans="1:8" x14ac:dyDescent="0.45">
      <c r="A115" s="2">
        <v>45891</v>
      </c>
      <c r="B115">
        <v>177.96043395996091</v>
      </c>
      <c r="C115">
        <v>158.74000549316409</v>
      </c>
      <c r="D115">
        <f t="shared" si="3"/>
        <v>1.121081188116908</v>
      </c>
      <c r="E115">
        <f t="shared" si="4"/>
        <v>1</v>
      </c>
      <c r="F115">
        <f t="shared" si="5"/>
        <v>0</v>
      </c>
      <c r="G115" s="3">
        <f>E115*((B115-B114)/B114)+F115*((C115-C114)/C114)</f>
        <v>1.7202090813873139E-2</v>
      </c>
      <c r="H115">
        <f>E115*(((B115-B114)/B114) - ((C115-C114)/C114))+F115*(((C115-C114)/C114)-((B115-B114)/B114))</f>
        <v>8.1066465535547041E-4</v>
      </c>
    </row>
    <row r="116" spans="1:8" x14ac:dyDescent="0.45">
      <c r="A116" s="2">
        <v>45894</v>
      </c>
      <c r="B116">
        <v>179.7801208496094</v>
      </c>
      <c r="C116">
        <v>157.16999816894531</v>
      </c>
      <c r="D116">
        <f t="shared" si="3"/>
        <v>1.1438577523959756</v>
      </c>
      <c r="E116">
        <f t="shared" si="4"/>
        <v>1</v>
      </c>
      <c r="F116">
        <f t="shared" si="5"/>
        <v>0</v>
      </c>
      <c r="G116" s="3">
        <f>E116*((B116-B115)/B115)+F116*((C116-C115)/C115)</f>
        <v>1.022523293047208E-2</v>
      </c>
      <c r="H116">
        <f>E116*(((B116-B115)/B115) - ((C116-C115)/C115))+F116*(((C116-C115)/C115)-((B116-B115)/B115))</f>
        <v>2.0115665523952043E-2</v>
      </c>
    </row>
    <row r="117" spans="1:8" x14ac:dyDescent="0.45">
      <c r="A117" s="2">
        <v>45895</v>
      </c>
      <c r="B117">
        <v>181.73979187011719</v>
      </c>
      <c r="C117">
        <v>160.8699951171875</v>
      </c>
      <c r="D117">
        <f t="shared" si="3"/>
        <v>1.1297308223185241</v>
      </c>
      <c r="E117">
        <f t="shared" si="4"/>
        <v>1</v>
      </c>
      <c r="F117">
        <f t="shared" si="5"/>
        <v>0</v>
      </c>
      <c r="G117" s="3">
        <f>E117*((B117-B116)/B116)+F117*((C117-C116)/C116)</f>
        <v>1.090037658917305E-2</v>
      </c>
      <c r="H117">
        <f>E117*(((B117-B116)/B116) - ((C117-C116)/C116))+F117*(((C117-C116)/C116)-((B117-B116)/B116))</f>
        <v>-1.2640992573820661E-2</v>
      </c>
    </row>
    <row r="118" spans="1:8" x14ac:dyDescent="0.45">
      <c r="A118" s="2">
        <v>45896</v>
      </c>
      <c r="B118">
        <v>181.56982421875</v>
      </c>
      <c r="C118">
        <v>156.7200012207031</v>
      </c>
      <c r="D118">
        <f t="shared" si="3"/>
        <v>1.1585619117182866</v>
      </c>
      <c r="E118">
        <f t="shared" si="4"/>
        <v>1</v>
      </c>
      <c r="F118">
        <f t="shared" si="5"/>
        <v>0</v>
      </c>
      <c r="G118" s="3">
        <f>E118*((B118-B117)/B117)+F118*((C118-C117)/C117)</f>
        <v>-9.3522529996434235E-4</v>
      </c>
      <c r="H118">
        <f>E118*(((B118-B117)/B117) - ((C118-C117)/C117))+F118*(((C118-C117)/C117)-((B118-B117)/B117))</f>
        <v>2.4861965117436335E-2</v>
      </c>
    </row>
    <row r="119" spans="1:8" x14ac:dyDescent="0.45">
      <c r="A119" s="2">
        <v>45897</v>
      </c>
      <c r="B119">
        <v>180.14006042480469</v>
      </c>
      <c r="C119">
        <v>158.1199951171875</v>
      </c>
      <c r="D119">
        <f t="shared" si="3"/>
        <v>1.1392617378421841</v>
      </c>
      <c r="E119">
        <f t="shared" si="4"/>
        <v>1</v>
      </c>
      <c r="F119">
        <f t="shared" si="5"/>
        <v>0</v>
      </c>
      <c r="G119" s="3">
        <f>E119*((B119-B118)/B118)+F119*((C119-C118)/C118)</f>
        <v>-7.8744571136598936E-3</v>
      </c>
      <c r="H119">
        <f>E119*(((B119-B118)/B118) - ((C119-C118)/C118))+F119*(((C119-C118)/C118)-((B119-B118)/B118))</f>
        <v>-1.6807547246251477E-2</v>
      </c>
    </row>
    <row r="120" spans="1:8" x14ac:dyDescent="0.45">
      <c r="A120" s="2">
        <v>45898</v>
      </c>
      <c r="B120">
        <v>174.15104675292969</v>
      </c>
      <c r="C120">
        <v>156.71000671386719</v>
      </c>
      <c r="D120">
        <f t="shared" si="3"/>
        <v>1.1112949989907641</v>
      </c>
      <c r="E120">
        <f t="shared" si="4"/>
        <v>1</v>
      </c>
      <c r="F120">
        <f t="shared" si="5"/>
        <v>0</v>
      </c>
      <c r="G120" s="3">
        <f>E120*((B120-B119)/B119)+F120*((C120-C119)/C119)</f>
        <v>-3.3246428683057848E-2</v>
      </c>
      <c r="H120">
        <f>E120*(((B120-B119)/B119) - ((C120-C119)/C119))+F120*(((C120-C119)/C119)-((B120-B119)/B119))</f>
        <v>-2.4329223731999458E-2</v>
      </c>
    </row>
    <row r="121" spans="1:8" x14ac:dyDescent="0.45">
      <c r="A121" s="2">
        <v>45902</v>
      </c>
      <c r="B121">
        <v>170.7516174316406</v>
      </c>
      <c r="C121">
        <v>157.0899963378906</v>
      </c>
      <c r="D121">
        <f t="shared" si="3"/>
        <v>1.0869668432887649</v>
      </c>
      <c r="E121">
        <f t="shared" si="4"/>
        <v>0</v>
      </c>
      <c r="F121">
        <f t="shared" si="5"/>
        <v>1</v>
      </c>
      <c r="G121" s="3">
        <f>E121*((B121-B120)/B120)+F121*((C121-C120)/C120)</f>
        <v>2.4247948933932627E-3</v>
      </c>
      <c r="H121">
        <f>E121*(((B121-B120)/B120) - ((C121-C120)/C120))+F121*(((C121-C120)/C120)-((B121-B120)/B120))</f>
        <v>2.1944799996273322E-2</v>
      </c>
    </row>
    <row r="122" spans="1:8" x14ac:dyDescent="0.45">
      <c r="A122" s="2">
        <v>45903</v>
      </c>
      <c r="B122">
        <v>170.59165954589841</v>
      </c>
      <c r="C122">
        <v>154.8999938964844</v>
      </c>
      <c r="D122">
        <f t="shared" si="3"/>
        <v>1.1013019126385526</v>
      </c>
      <c r="E122">
        <f t="shared" si="4"/>
        <v>0</v>
      </c>
      <c r="F122">
        <f t="shared" si="5"/>
        <v>1</v>
      </c>
      <c r="G122" s="3">
        <f>E122*((B122-B121)/B121)+F122*((C122-C121)/C121)</f>
        <v>-1.3941068766057114E-2</v>
      </c>
      <c r="H122">
        <f>E122*(((B122-B121)/B121) - ((C122-C121)/C121))+F122*(((C122-C121)/C121)-((B122-B121)/B121))</f>
        <v>-1.3004281822845723E-2</v>
      </c>
    </row>
    <row r="123" spans="1:8" x14ac:dyDescent="0.45">
      <c r="A123" s="2">
        <v>45904</v>
      </c>
      <c r="B123">
        <v>171.63148498535159</v>
      </c>
      <c r="C123">
        <v>156.13999938964841</v>
      </c>
      <c r="D123">
        <f t="shared" si="3"/>
        <v>1.0992153558105511</v>
      </c>
      <c r="E123">
        <f t="shared" si="4"/>
        <v>0</v>
      </c>
      <c r="F123">
        <f t="shared" si="5"/>
        <v>1</v>
      </c>
      <c r="G123" s="3">
        <f>E123*((B123-B122)/B122)+F123*((C123-C122)/C122)</f>
        <v>8.0052004004123375E-3</v>
      </c>
      <c r="H123">
        <f>E123*(((B123-B122)/B122) - ((C123-C122)/C122))+F123*(((C123-C122)/C122)-((B123-B122)/B122))</f>
        <v>1.9097943165444897E-3</v>
      </c>
    </row>
    <row r="124" spans="1:8" x14ac:dyDescent="0.45">
      <c r="A124" s="2">
        <v>45905</v>
      </c>
      <c r="B124">
        <v>166.99226379394531</v>
      </c>
      <c r="C124">
        <v>153.11000061035159</v>
      </c>
      <c r="D124">
        <f t="shared" si="3"/>
        <v>1.0906685593903338</v>
      </c>
      <c r="E124">
        <f t="shared" si="4"/>
        <v>0</v>
      </c>
      <c r="F124">
        <f t="shared" si="5"/>
        <v>1</v>
      </c>
      <c r="G124" s="3">
        <f>E124*((B124-B123)/B123)+F124*((C124-C123)/C123)</f>
        <v>-1.9405653843608876E-2</v>
      </c>
      <c r="H124">
        <f>E124*(((B124-B123)/B123) - ((C124-C123)/C123))+F124*(((C124-C123)/C123)-((B124-B123)/B123))</f>
        <v>7.6244752250886685E-3</v>
      </c>
    </row>
    <row r="125" spans="1:8" x14ac:dyDescent="0.45">
      <c r="A125" s="2">
        <v>45908</v>
      </c>
      <c r="B125">
        <v>168.28202819824219</v>
      </c>
      <c r="C125">
        <v>156.1000061035156</v>
      </c>
      <c r="D125">
        <f t="shared" si="3"/>
        <v>1.0780398566201737</v>
      </c>
      <c r="E125">
        <f t="shared" si="4"/>
        <v>0</v>
      </c>
      <c r="F125">
        <f t="shared" si="5"/>
        <v>1</v>
      </c>
      <c r="G125" s="3">
        <f>E125*((B125-B124)/B124)+F125*((C125-C124)/C124)</f>
        <v>1.9528479402029699E-2</v>
      </c>
      <c r="H125">
        <f>E125*(((B125-B124)/B124) - ((C125-C124)/C124))+F125*(((C125-C124)/C124)-((B125-B124)/B124))</f>
        <v>1.1804981468686283E-2</v>
      </c>
    </row>
    <row r="126" spans="1:8" x14ac:dyDescent="0.45">
      <c r="A126" s="2">
        <v>45909</v>
      </c>
      <c r="B126">
        <v>170.73161315917969</v>
      </c>
      <c r="C126">
        <v>162.36000061035159</v>
      </c>
      <c r="D126">
        <f t="shared" si="3"/>
        <v>1.0515620381704676</v>
      </c>
      <c r="E126">
        <f t="shared" si="4"/>
        <v>0</v>
      </c>
      <c r="F126">
        <f t="shared" si="5"/>
        <v>1</v>
      </c>
      <c r="G126" s="3">
        <f>E126*((B126-B125)/B125)+F126*((C126-C125)/C125)</f>
        <v>4.0102461640422769E-2</v>
      </c>
      <c r="H126">
        <f>E126*(((B126-B125)/B125) - ((C126-C125)/C125))+F126*(((C126-C125)/C125)-((B126-B125)/B125))</f>
        <v>2.5546035222434732E-2</v>
      </c>
    </row>
    <row r="127" spans="1:8" x14ac:dyDescent="0.45">
      <c r="A127" s="2">
        <v>45910</v>
      </c>
      <c r="B127">
        <v>177.300537109375</v>
      </c>
      <c r="C127">
        <v>166.74000549316409</v>
      </c>
      <c r="D127">
        <f t="shared" si="3"/>
        <v>1.0633353200689672</v>
      </c>
      <c r="E127">
        <f t="shared" si="4"/>
        <v>0</v>
      </c>
      <c r="F127">
        <f t="shared" si="5"/>
        <v>1</v>
      </c>
      <c r="G127" s="3">
        <f>E127*((B127-B126)/B126)+F127*((C127-C126)/C126)</f>
        <v>2.6977117925270837E-2</v>
      </c>
      <c r="H127">
        <f>E127*(((B127-B126)/B126) - ((C127-C126)/C126))+F127*(((C127-C126)/C126)-((B127-B126)/B126))</f>
        <v>-1.1498029287629042E-2</v>
      </c>
    </row>
    <row r="128" spans="1:8" x14ac:dyDescent="0.45">
      <c r="A128" s="2">
        <v>45911</v>
      </c>
      <c r="B128">
        <v>177.15055847167969</v>
      </c>
      <c r="C128">
        <v>164.36000061035159</v>
      </c>
      <c r="D128">
        <f t="shared" si="3"/>
        <v>1.0778203809554046</v>
      </c>
      <c r="E128">
        <f t="shared" si="4"/>
        <v>0</v>
      </c>
      <c r="F128">
        <f t="shared" si="5"/>
        <v>1</v>
      </c>
      <c r="G128" s="3">
        <f>E128*((B128-B127)/B127)+F128*((C128-C127)/C127)</f>
        <v>-1.4273748377140806E-2</v>
      </c>
      <c r="H128">
        <f>E128*(((B128-B127)/B127) - ((C128-C127)/C127))+F128*(((C128-C127)/C127)-((B128-B127)/B127))</f>
        <v>-1.3427847737805506E-2</v>
      </c>
    </row>
    <row r="129" spans="1:8" x14ac:dyDescent="0.45">
      <c r="A129" s="2">
        <v>45912</v>
      </c>
      <c r="B129">
        <v>177.80047607421881</v>
      </c>
      <c r="C129">
        <v>171.42999267578119</v>
      </c>
      <c r="D129">
        <f t="shared" si="3"/>
        <v>1.0371608450715264</v>
      </c>
      <c r="E129">
        <f t="shared" si="4"/>
        <v>0</v>
      </c>
      <c r="F129">
        <f t="shared" si="5"/>
        <v>1</v>
      </c>
      <c r="G129" s="3">
        <f>E129*((B129-B128)/B128)+F129*((C129-C128)/C128)</f>
        <v>4.3015283762321464E-2</v>
      </c>
      <c r="H129">
        <f>E129*(((B129-B128)/B128) - ((C129-C128)/C128))+F129*(((C129-C128)/C128)-((B129-B128)/B128))</f>
        <v>3.9346553569506303E-2</v>
      </c>
    </row>
    <row r="130" spans="1:8" x14ac:dyDescent="0.45">
      <c r="A130" s="2">
        <v>45915</v>
      </c>
      <c r="B130">
        <v>177.7304992675781</v>
      </c>
      <c r="C130">
        <v>171.21000671386719</v>
      </c>
      <c r="D130">
        <f t="shared" si="3"/>
        <v>1.0380847631447629</v>
      </c>
      <c r="E130">
        <f t="shared" si="4"/>
        <v>0</v>
      </c>
      <c r="F130">
        <f t="shared" si="5"/>
        <v>1</v>
      </c>
      <c r="G130" s="3">
        <f>E130*((B130-B129)/B129)+F130*((C130-C129)/C129)</f>
        <v>-1.2832408056509485E-3</v>
      </c>
      <c r="H130">
        <f>E130*(((B130-B129)/B129) - ((C130-C129)/C129))+F130*(((C130-C129)/C129)-((B130-B129)/B129))</f>
        <v>-8.8967151840393336E-4</v>
      </c>
    </row>
    <row r="131" spans="1:8" x14ac:dyDescent="0.45">
      <c r="A131" s="2">
        <v>45916</v>
      </c>
      <c r="B131">
        <v>174.8608093261719</v>
      </c>
      <c r="C131">
        <v>170.25999450683591</v>
      </c>
      <c r="D131">
        <f t="shared" ref="D131:D194" si="6">B131/C131</f>
        <v>1.0270222892504044</v>
      </c>
      <c r="E131">
        <f t="shared" si="4"/>
        <v>0</v>
      </c>
      <c r="F131">
        <f t="shared" si="5"/>
        <v>1</v>
      </c>
      <c r="G131" s="3">
        <f>E131*((B131-B130)/B130)+F131*((C131-C130)/C130)</f>
        <v>-5.5488123928350503E-3</v>
      </c>
      <c r="H131">
        <f>E131*(((B131-B130)/B130) - ((C131-C130)/C130))+F131*(((C131-C130)/C130)-((B131-B130)/B130))</f>
        <v>1.0597487500723438E-2</v>
      </c>
    </row>
    <row r="132" spans="1:8" x14ac:dyDescent="0.45">
      <c r="A132" s="2">
        <v>45917</v>
      </c>
      <c r="B132">
        <v>170.27130126953119</v>
      </c>
      <c r="C132">
        <v>168.33000183105469</v>
      </c>
      <c r="D132">
        <f t="shared" si="6"/>
        <v>1.0115327001565941</v>
      </c>
      <c r="E132">
        <f t="shared" si="4"/>
        <v>0</v>
      </c>
      <c r="F132">
        <f t="shared" si="5"/>
        <v>1</v>
      </c>
      <c r="G132" s="3">
        <f>E132*((B132-B131)/B131)+F132*((C132-C131)/C131)</f>
        <v>-1.1335561717663116E-2</v>
      </c>
      <c r="H132">
        <f>E132*(((B132-B131)/B131) - ((C132-C131)/C131))+F132*(((C132-C131)/C131)-((B132-B131)/B131))</f>
        <v>1.4911074531628142E-2</v>
      </c>
    </row>
    <row r="133" spans="1:8" x14ac:dyDescent="0.45">
      <c r="A133" s="2">
        <v>45918</v>
      </c>
      <c r="B133">
        <v>176.22065734863281</v>
      </c>
      <c r="C133">
        <v>176.9700012207031</v>
      </c>
      <c r="D133">
        <f t="shared" si="6"/>
        <v>0.99576570115329455</v>
      </c>
      <c r="E133">
        <f t="shared" si="4"/>
        <v>0</v>
      </c>
      <c r="F133">
        <f t="shared" si="5"/>
        <v>1</v>
      </c>
      <c r="G133" s="3">
        <f>E133*((B133-B132)/B132)+F133*((C133-C132)/C132)</f>
        <v>5.1327744880083771E-2</v>
      </c>
      <c r="H133">
        <f>E133*(((B133-B132)/B132) - ((C133-C132)/C132))+F133*(((C133-C132)/C132)-((B133-B132)/B132))</f>
        <v>1.6387293760349399E-2</v>
      </c>
    </row>
    <row r="134" spans="1:8" x14ac:dyDescent="0.45">
      <c r="A134" s="2">
        <v>45919</v>
      </c>
      <c r="B134">
        <v>176.65058898925781</v>
      </c>
      <c r="C134">
        <v>182.38999938964841</v>
      </c>
      <c r="D134">
        <f t="shared" si="6"/>
        <v>0.96853220889524094</v>
      </c>
      <c r="E134">
        <f t="shared" si="4"/>
        <v>0</v>
      </c>
      <c r="F134">
        <f t="shared" si="5"/>
        <v>1</v>
      </c>
      <c r="G134" s="3">
        <f>E134*((B134-B133)/B133)+F134*((C134-C133)/C133)</f>
        <v>3.0626649327904543E-2</v>
      </c>
      <c r="H134">
        <f>E134*(((B134-B133)/B133) - ((C134-C133)/C133))+F134*(((C134-C133)/C133)-((B134-B133)/B133))</f>
        <v>2.8186914695803901E-2</v>
      </c>
    </row>
    <row r="135" spans="1:8" x14ac:dyDescent="0.45">
      <c r="A135" s="2">
        <v>45922</v>
      </c>
      <c r="B135">
        <v>183.58984375</v>
      </c>
      <c r="C135">
        <v>179.33000183105469</v>
      </c>
      <c r="D135">
        <f t="shared" si="6"/>
        <v>1.0237542066327445</v>
      </c>
      <c r="E135">
        <f t="shared" si="4"/>
        <v>0</v>
      </c>
      <c r="F135">
        <f t="shared" si="5"/>
        <v>1</v>
      </c>
      <c r="G135" s="3">
        <f>E135*((B135-B134)/B134)+F135*((C135-C134)/C134)</f>
        <v>-1.6777222264563442E-2</v>
      </c>
      <c r="H135">
        <f>E135*(((B135-B134)/B134) - ((C135-C134)/C134))+F135*(((C135-C134)/C134)-((B135-B134)/B134))</f>
        <v>-5.605959771797428E-2</v>
      </c>
    </row>
    <row r="136" spans="1:8" x14ac:dyDescent="0.45">
      <c r="A136" s="2">
        <v>45923</v>
      </c>
      <c r="B136">
        <v>178.410400390625</v>
      </c>
      <c r="C136">
        <v>182.55000305175781</v>
      </c>
      <c r="D136">
        <f t="shared" si="6"/>
        <v>0.97732345882262672</v>
      </c>
      <c r="E136">
        <f t="shared" si="4"/>
        <v>0</v>
      </c>
      <c r="F136">
        <f t="shared" si="5"/>
        <v>1</v>
      </c>
      <c r="G136" s="3">
        <f>E136*((B136-B135)/B135)+F136*((C136-C135)/C135)</f>
        <v>1.7955730707774495E-2</v>
      </c>
      <c r="H136">
        <f>E136*(((B136-B135)/B135) - ((C136-C135)/C135))+F136*(((C136-C135)/C135)-((B136-B135)/B135))</f>
        <v>4.6167767134081439E-2</v>
      </c>
    </row>
    <row r="137" spans="1:8" x14ac:dyDescent="0.45">
      <c r="A137" s="2">
        <v>45924</v>
      </c>
      <c r="B137">
        <v>176.9505615234375</v>
      </c>
      <c r="C137">
        <v>179.55999755859381</v>
      </c>
      <c r="D137">
        <f t="shared" si="6"/>
        <v>0.98546760931924826</v>
      </c>
      <c r="E137">
        <f t="shared" si="4"/>
        <v>0</v>
      </c>
      <c r="F137">
        <f t="shared" si="5"/>
        <v>1</v>
      </c>
      <c r="G137" s="3">
        <f>E137*((B137-B136)/B136)+F137*((C137-C136)/C136)</f>
        <v>-1.6379104043708282E-2</v>
      </c>
      <c r="H137">
        <f>E137*(((B137-B136)/B136) - ((C137-C136)/C136))+F137*(((C137-C136)/C136)-((B137-B136)/B136))</f>
        <v>-8.1966277755578815E-3</v>
      </c>
    </row>
    <row r="138" spans="1:8" x14ac:dyDescent="0.45">
      <c r="A138" s="2">
        <v>45925</v>
      </c>
      <c r="B138">
        <v>177.6705017089844</v>
      </c>
      <c r="C138">
        <v>179.1199951171875</v>
      </c>
      <c r="D138">
        <f t="shared" si="6"/>
        <v>0.99190769624990904</v>
      </c>
      <c r="E138">
        <f t="shared" si="4"/>
        <v>0</v>
      </c>
      <c r="F138">
        <f t="shared" si="5"/>
        <v>1</v>
      </c>
      <c r="G138" s="3">
        <f>E138*((B138-B137)/B137)+F138*((C138-C137)/C137)</f>
        <v>-2.4504480251105248E-3</v>
      </c>
      <c r="H138">
        <f>E138*(((B138-B137)/B137) - ((C138-C137)/C137))+F138*(((C138-C137)/C137)-((B138-B137)/B137))</f>
        <v>-6.519043113753664E-3</v>
      </c>
    </row>
    <row r="139" spans="1:8" x14ac:dyDescent="0.45">
      <c r="A139" s="2">
        <v>45926</v>
      </c>
      <c r="B139">
        <v>178.1704406738281</v>
      </c>
      <c r="C139">
        <v>177.57000732421881</v>
      </c>
      <c r="D139">
        <f t="shared" si="6"/>
        <v>1.0033813894511643</v>
      </c>
      <c r="E139">
        <f t="shared" si="4"/>
        <v>0</v>
      </c>
      <c r="F139">
        <f t="shared" si="5"/>
        <v>1</v>
      </c>
      <c r="G139" s="3">
        <f>E139*((B139-B138)/B138)+F139*((C139-C138)/C138)</f>
        <v>-8.6533487897575527E-3</v>
      </c>
      <c r="H139">
        <f>E139*(((B139-B138)/B138) - ((C139-C138)/C138))+F139*(((C139-C138)/C138)-((B139-B138)/B138))</f>
        <v>-1.1467203425360308E-2</v>
      </c>
    </row>
    <row r="140" spans="1:8" x14ac:dyDescent="0.45">
      <c r="A140" s="2">
        <v>45929</v>
      </c>
      <c r="B140">
        <v>181.8300476074219</v>
      </c>
      <c r="C140">
        <v>178.86000061035159</v>
      </c>
      <c r="D140">
        <f t="shared" si="6"/>
        <v>1.0166054287539705</v>
      </c>
      <c r="E140">
        <f t="shared" si="4"/>
        <v>1</v>
      </c>
      <c r="F140">
        <f t="shared" si="5"/>
        <v>0</v>
      </c>
      <c r="G140" s="3">
        <f>E140*((B140-B139)/B139)+F140*((C140-C139)/C139)</f>
        <v>2.0539921884648375E-2</v>
      </c>
      <c r="H140">
        <f>E140*(((B140-B139)/B139) - ((C140-C139)/C139))+F140*(((C140-C139)/C139)-((B140-B139)/B139))</f>
        <v>1.3275219328335298E-2</v>
      </c>
    </row>
    <row r="141" spans="1:8" x14ac:dyDescent="0.45">
      <c r="A141" s="2">
        <v>45930</v>
      </c>
      <c r="B141">
        <v>186.55950927734381</v>
      </c>
      <c r="C141">
        <v>182.41999816894531</v>
      </c>
      <c r="D141">
        <f t="shared" si="6"/>
        <v>1.0226922001422496</v>
      </c>
      <c r="E141">
        <f t="shared" si="4"/>
        <v>1</v>
      </c>
      <c r="F141">
        <f t="shared" si="5"/>
        <v>0</v>
      </c>
      <c r="G141" s="3">
        <f>E141*((B141-B140)/B140)+F141*((C141-C140)/C140)</f>
        <v>2.6010341701790642E-2</v>
      </c>
      <c r="H141">
        <f>E141*(((B141-B140)/B140) - ((C141-C140)/C140))+F141*(((C141-C140)/C140)-((B141-B140)/B140))</f>
        <v>6.1065200175381973E-3</v>
      </c>
    </row>
    <row r="142" spans="1:8" x14ac:dyDescent="0.45">
      <c r="A142" s="2">
        <v>45931</v>
      </c>
      <c r="B142">
        <v>187.2194519042969</v>
      </c>
      <c r="C142">
        <v>184.94999694824219</v>
      </c>
      <c r="D142">
        <f t="shared" si="6"/>
        <v>1.0122706406785711</v>
      </c>
      <c r="E142">
        <f t="shared" si="4"/>
        <v>1</v>
      </c>
      <c r="F142">
        <f t="shared" si="5"/>
        <v>0</v>
      </c>
      <c r="G142" s="3">
        <f>E142*((B142-B141)/B141)+F142*((C142-C141)/C141)</f>
        <v>3.5374376225015161E-3</v>
      </c>
      <c r="H142">
        <f>E142*(((B142-B141)/B141) - ((C142-C141)/C141))+F142*(((C142-C141)/C141)-((B142-B141)/B141))</f>
        <v>-1.0331649126166017E-2</v>
      </c>
    </row>
    <row r="143" spans="1:8" x14ac:dyDescent="0.45">
      <c r="A143" s="2">
        <v>45932</v>
      </c>
      <c r="B143">
        <v>188.8692626953125</v>
      </c>
      <c r="C143">
        <v>187.05000305175781</v>
      </c>
      <c r="D143">
        <f t="shared" si="6"/>
        <v>1.0097260604858225</v>
      </c>
      <c r="E143">
        <f t="shared" si="4"/>
        <v>1</v>
      </c>
      <c r="F143">
        <f t="shared" si="5"/>
        <v>0</v>
      </c>
      <c r="G143" s="3">
        <f>E143*((B143-B142)/B142)+F143*((C143-C142)/C142)</f>
        <v>8.8121761613689006E-3</v>
      </c>
      <c r="H143">
        <f>E143*(((B143-B142)/B142) - ((C143-C142)/C142))+F143*(((C143-C142)/C142)-((B143-B142)/B142))</f>
        <v>-2.542277140424376E-3</v>
      </c>
    </row>
    <row r="144" spans="1:8" x14ac:dyDescent="0.45">
      <c r="A144" s="2">
        <v>45933</v>
      </c>
      <c r="B144">
        <v>187.59941101074219</v>
      </c>
      <c r="C144">
        <v>173.07000732421881</v>
      </c>
      <c r="D144">
        <f t="shared" si="6"/>
        <v>1.0839510202325517</v>
      </c>
      <c r="E144">
        <f t="shared" ref="E144:E207" si="7">IF(D144&gt;(AVERAGE(D131:D143)),1,0)</f>
        <v>1</v>
      </c>
      <c r="F144">
        <f t="shared" ref="F144:F207" si="8">IF(D144&lt;(AVERAGE(D131:D143)),1,0)</f>
        <v>0</v>
      </c>
      <c r="G144" s="3">
        <f>E144*((B144-B143)/B143)+F144*((C144-C143)/C143)</f>
        <v>-6.7234428008482328E-3</v>
      </c>
      <c r="H144">
        <f>E144*(((B144-B143)/B143) - ((C144-C143)/C143))+F144*(((C144-C143)/C143)-((B144-B143)/B143))</f>
        <v>6.8015907637283865E-2</v>
      </c>
    </row>
    <row r="145" spans="1:8" x14ac:dyDescent="0.45">
      <c r="A145" s="2">
        <v>45936</v>
      </c>
      <c r="B145">
        <v>185.5196228027344</v>
      </c>
      <c r="C145">
        <v>179.5299987792969</v>
      </c>
      <c r="D145">
        <f t="shared" si="6"/>
        <v>1.0333628032315689</v>
      </c>
      <c r="E145">
        <f t="shared" si="7"/>
        <v>1</v>
      </c>
      <c r="F145">
        <f t="shared" si="8"/>
        <v>0</v>
      </c>
      <c r="G145" s="3">
        <f>E145*((B145-B144)/B144)+F145*((C145-C144)/C144)</f>
        <v>-1.1086325894107912E-2</v>
      </c>
      <c r="H145">
        <f>E145*(((B145-B144)/B144) - ((C145-C144)/C144))+F145*(((C145-C144)/C144)-((B145-B144)/B144))</f>
        <v>-4.8412212423807666E-2</v>
      </c>
    </row>
    <row r="146" spans="1:8" x14ac:dyDescent="0.45">
      <c r="A146" s="2">
        <v>45937</v>
      </c>
      <c r="B146">
        <v>185.0196838378906</v>
      </c>
      <c r="C146">
        <v>182.16999816894531</v>
      </c>
      <c r="D146">
        <f t="shared" si="6"/>
        <v>1.0156430021276197</v>
      </c>
      <c r="E146">
        <f t="shared" si="7"/>
        <v>1</v>
      </c>
      <c r="F146">
        <f t="shared" si="8"/>
        <v>0</v>
      </c>
      <c r="G146" s="3">
        <f>E146*((B146-B145)/B145)+F146*((C146-C145)/C145)</f>
        <v>-2.6948036940297087E-3</v>
      </c>
      <c r="H146">
        <f>E146*(((B146-B145)/B145) - ((C146-C145)/C145))+F146*(((C146-C145)/C145)-((B146-B145)/B145))</f>
        <v>-1.7399863614928283E-2</v>
      </c>
    </row>
    <row r="147" spans="1:8" x14ac:dyDescent="0.45">
      <c r="A147" s="2">
        <v>45938</v>
      </c>
      <c r="B147">
        <v>189.0892333984375</v>
      </c>
      <c r="C147">
        <v>183.55999755859381</v>
      </c>
      <c r="D147">
        <f t="shared" si="6"/>
        <v>1.030122226592854</v>
      </c>
      <c r="E147">
        <f t="shared" si="7"/>
        <v>1</v>
      </c>
      <c r="F147">
        <f t="shared" si="8"/>
        <v>0</v>
      </c>
      <c r="G147" s="3">
        <f>E147*((B147-B146)/B146)+F147*((C147-C146)/C146)</f>
        <v>2.1995224919487681E-2</v>
      </c>
      <c r="H147">
        <f>E147*(((B147-B146)/B146) - ((C147-C146)/C146))+F147*(((C147-C146)/C146)-((B147-B146)/B146))</f>
        <v>1.4364992698925202E-2</v>
      </c>
    </row>
    <row r="148" spans="1:8" x14ac:dyDescent="0.45">
      <c r="A148" s="2">
        <v>45939</v>
      </c>
      <c r="B148">
        <v>192.5488586425781</v>
      </c>
      <c r="C148">
        <v>185.4700012207031</v>
      </c>
      <c r="D148">
        <f t="shared" si="6"/>
        <v>1.0381671287824676</v>
      </c>
      <c r="E148">
        <f t="shared" si="7"/>
        <v>1</v>
      </c>
      <c r="F148">
        <f t="shared" si="8"/>
        <v>0</v>
      </c>
      <c r="G148" s="3">
        <f>E148*((B148-B147)/B147)+F148*((C148-C147)/C147)</f>
        <v>1.8296257179543807E-2</v>
      </c>
      <c r="H148">
        <f>E148*(((B148-B147)/B147) - ((C148-C147)/C147))+F148*(((C148-C147)/C147)-((B148-B147)/B147))</f>
        <v>7.890920028133127E-3</v>
      </c>
    </row>
    <row r="149" spans="1:8" x14ac:dyDescent="0.45">
      <c r="A149" s="2">
        <v>45940</v>
      </c>
      <c r="B149">
        <v>183.139892578125</v>
      </c>
      <c r="C149">
        <v>175.44000244140619</v>
      </c>
      <c r="D149">
        <f t="shared" si="6"/>
        <v>1.0438890220563604</v>
      </c>
      <c r="E149">
        <f t="shared" si="7"/>
        <v>1</v>
      </c>
      <c r="F149">
        <f t="shared" si="8"/>
        <v>0</v>
      </c>
      <c r="G149" s="3">
        <f>E149*((B149-B148)/B148)+F149*((C149-C148)/C148)</f>
        <v>-4.8865343221372405E-2</v>
      </c>
      <c r="H149">
        <f>E149*(((B149-B148)/B148) - ((C149-C148)/C148))+F149*(((C149-C148)/C148)-((B149-B148)/B148))</f>
        <v>5.2134766054606138E-3</v>
      </c>
    </row>
    <row r="150" spans="1:8" x14ac:dyDescent="0.45">
      <c r="A150" s="2">
        <v>45943</v>
      </c>
      <c r="B150">
        <v>188.29933166503909</v>
      </c>
      <c r="C150">
        <v>177.21000671386719</v>
      </c>
      <c r="D150">
        <f t="shared" si="6"/>
        <v>1.0625773067605451</v>
      </c>
      <c r="E150">
        <f t="shared" si="7"/>
        <v>1</v>
      </c>
      <c r="F150">
        <f t="shared" si="8"/>
        <v>0</v>
      </c>
      <c r="G150" s="3">
        <f>E150*((B150-B149)/B149)+F150*((C150-C149)/C149)</f>
        <v>2.8172120308048908E-2</v>
      </c>
      <c r="H150">
        <f>E150*(((B150-B149)/B149) - ((C150-C149)/C149))+F150*(((C150-C149)/C149)-((B150-B149)/B149))</f>
        <v>1.8083176806967138E-2</v>
      </c>
    </row>
    <row r="151" spans="1:8" x14ac:dyDescent="0.45">
      <c r="A151" s="2">
        <v>45944</v>
      </c>
      <c r="B151">
        <v>180.0102233886719</v>
      </c>
      <c r="C151">
        <v>179.74000549316409</v>
      </c>
      <c r="D151">
        <f t="shared" si="6"/>
        <v>1.00150338203655</v>
      </c>
      <c r="E151">
        <f t="shared" si="7"/>
        <v>0</v>
      </c>
      <c r="F151">
        <f t="shared" si="8"/>
        <v>1</v>
      </c>
      <c r="G151" s="3">
        <f>E151*((B151-B150)/B150)+F151*((C151-C150)/C150)</f>
        <v>1.4276839249726883E-2</v>
      </c>
      <c r="H151">
        <f>E151*(((B151-B150)/B150) - ((C151-C150)/C150))+F151*(((C151-C150)/C150)-((B151-B150)/B150))</f>
        <v>5.8297751077032105E-2</v>
      </c>
    </row>
    <row r="152" spans="1:8" x14ac:dyDescent="0.45">
      <c r="A152" s="2">
        <v>45945</v>
      </c>
      <c r="B152">
        <v>179.81025695800781</v>
      </c>
      <c r="C152">
        <v>179.6199951171875</v>
      </c>
      <c r="D152">
        <f t="shared" si="6"/>
        <v>1.0010592464424475</v>
      </c>
      <c r="E152">
        <f t="shared" si="7"/>
        <v>0</v>
      </c>
      <c r="F152">
        <f t="shared" si="8"/>
        <v>1</v>
      </c>
      <c r="G152" s="3">
        <f>E152*((B152-B151)/B151)+F152*((C152-C151)/C151)</f>
        <v>-6.6768872988131277E-4</v>
      </c>
      <c r="H152">
        <f>E152*(((B152-B151)/B151) - ((C152-C151)/C151))+F152*(((C152-C151)/C151)-((B152-B151)/B151))</f>
        <v>4.4317279175754573E-4</v>
      </c>
    </row>
    <row r="153" spans="1:8" x14ac:dyDescent="0.45">
      <c r="A153" s="2">
        <v>45946</v>
      </c>
      <c r="B153">
        <v>181.7900390625</v>
      </c>
      <c r="C153">
        <v>178.1199951171875</v>
      </c>
      <c r="D153">
        <f t="shared" si="6"/>
        <v>1.0206043344145497</v>
      </c>
      <c r="E153">
        <f t="shared" si="7"/>
        <v>0</v>
      </c>
      <c r="F153">
        <f t="shared" si="8"/>
        <v>1</v>
      </c>
      <c r="G153" s="3">
        <f>E153*((B153-B152)/B152)+F153*((C153-C152)/C152)</f>
        <v>-8.3509633714296191E-3</v>
      </c>
      <c r="H153">
        <f>E153*(((B153-B152)/B152) - ((C153-C152)/C152))+F153*(((C153-C152)/C152)-((B153-B152)/B152))</f>
        <v>-1.9361359207494398E-2</v>
      </c>
    </row>
    <row r="154" spans="1:8" x14ac:dyDescent="0.45">
      <c r="A154" s="2">
        <v>45947</v>
      </c>
      <c r="B154">
        <v>183.19989013671881</v>
      </c>
      <c r="C154">
        <v>178.1499938964844</v>
      </c>
      <c r="D154">
        <f t="shared" si="6"/>
        <v>1.0283463172228269</v>
      </c>
      <c r="E154">
        <f t="shared" si="7"/>
        <v>0</v>
      </c>
      <c r="F154">
        <f t="shared" si="8"/>
        <v>1</v>
      </c>
      <c r="G154" s="3">
        <f>E154*((B154-B153)/B153)+F154*((C154-C153)/C153)</f>
        <v>1.6841893172727087E-4</v>
      </c>
      <c r="H154">
        <f>E154*(((B154-B153)/B153) - ((C154-C153)/C153))+F154*(((C154-C153)/C153)-((B154-B153)/B153))</f>
        <v>-7.5869623943865079E-3</v>
      </c>
    </row>
    <row r="155" spans="1:8" x14ac:dyDescent="0.45">
      <c r="A155" s="2">
        <v>45950</v>
      </c>
      <c r="B155">
        <v>182.61994934082031</v>
      </c>
      <c r="C155">
        <v>181.5899963378906</v>
      </c>
      <c r="D155">
        <f t="shared" si="6"/>
        <v>1.005671859814421</v>
      </c>
      <c r="E155">
        <f t="shared" si="7"/>
        <v>0</v>
      </c>
      <c r="F155">
        <f t="shared" si="8"/>
        <v>1</v>
      </c>
      <c r="G155" s="3">
        <f>E155*((B155-B154)/B154)+F155*((C155-C154)/C154)</f>
        <v>1.9309584952357822E-2</v>
      </c>
      <c r="H155">
        <f>E155*(((B155-B154)/B154) - ((C155-C154)/C154))+F155*(((C155-C154)/C154)-((B155-B154)/B154))</f>
        <v>2.2475202548884188E-2</v>
      </c>
    </row>
    <row r="156" spans="1:8" x14ac:dyDescent="0.45">
      <c r="A156" s="2">
        <v>45951</v>
      </c>
      <c r="B156">
        <v>181.1401062011719</v>
      </c>
      <c r="C156">
        <v>181.50999450683591</v>
      </c>
      <c r="D156">
        <f t="shared" si="6"/>
        <v>0.99796216011868111</v>
      </c>
      <c r="E156">
        <f t="shared" si="7"/>
        <v>0</v>
      </c>
      <c r="F156">
        <f t="shared" si="8"/>
        <v>1</v>
      </c>
      <c r="G156" s="3">
        <f>E156*((B156-B155)/B155)+F156*((C156-C155)/C155)</f>
        <v>-4.4056298622213421E-4</v>
      </c>
      <c r="H156">
        <f>E156*(((B156-B155)/B155) - ((C156-C155)/C155))+F156*(((C156-C155)/C155)-((B156-B155)/B155))</f>
        <v>7.6628405301516688E-3</v>
      </c>
    </row>
    <row r="157" spans="1:8" x14ac:dyDescent="0.45">
      <c r="A157" s="2">
        <v>45952</v>
      </c>
      <c r="B157">
        <v>180.26020812988281</v>
      </c>
      <c r="C157">
        <v>175.49000549316409</v>
      </c>
      <c r="D157">
        <f t="shared" si="6"/>
        <v>1.0271821897965838</v>
      </c>
      <c r="E157">
        <f t="shared" si="7"/>
        <v>0</v>
      </c>
      <c r="F157">
        <f t="shared" si="8"/>
        <v>1</v>
      </c>
      <c r="G157" s="3">
        <f>E157*((B157-B156)/B156)+F157*((C157-C156)/C156)</f>
        <v>-3.3166157213701516E-2</v>
      </c>
      <c r="H157">
        <f>E157*(((B157-B156)/B156) - ((C157-C156)/C156))+F157*(((C157-C156)/C156)-((B157-B156)/B156))</f>
        <v>-2.8308601977911341E-2</v>
      </c>
    </row>
    <row r="158" spans="1:8" x14ac:dyDescent="0.45">
      <c r="A158" s="2">
        <v>45953</v>
      </c>
      <c r="B158">
        <v>182.13999938964841</v>
      </c>
      <c r="C158">
        <v>180.47999572753909</v>
      </c>
      <c r="D158">
        <f t="shared" si="6"/>
        <v>1.009197715544139</v>
      </c>
      <c r="E158">
        <f t="shared" si="7"/>
        <v>0</v>
      </c>
      <c r="F158">
        <f t="shared" si="8"/>
        <v>1</v>
      </c>
      <c r="G158" s="3">
        <f>E158*((B158-B157)/B157)+F158*((C158-C157)/C157)</f>
        <v>2.8434612104273803E-2</v>
      </c>
      <c r="H158">
        <f>E158*(((B158-B157)/B157) - ((C158-C157)/C157))+F158*(((C158-C157)/C157)-((B158-B157)/B157))</f>
        <v>1.8006402355336026E-2</v>
      </c>
    </row>
    <row r="159" spans="1:8" x14ac:dyDescent="0.45">
      <c r="A159" s="2">
        <v>45954</v>
      </c>
      <c r="B159">
        <v>186.2395324707031</v>
      </c>
      <c r="C159">
        <v>184.6300048828125</v>
      </c>
      <c r="D159">
        <f t="shared" si="6"/>
        <v>1.0087175840617681</v>
      </c>
      <c r="E159">
        <f t="shared" si="7"/>
        <v>0</v>
      </c>
      <c r="F159">
        <f t="shared" si="8"/>
        <v>1</v>
      </c>
      <c r="G159" s="3">
        <f>E159*((B159-B158)/B158)+F159*((C159-C158)/C158)</f>
        <v>2.2994288860348013E-2</v>
      </c>
      <c r="H159">
        <f>E159*(((B159-B158)/B158) - ((C159-C158)/C158))+F159*(((C159-C158)/C158)-((B159-B158)/B158))</f>
        <v>4.8669527962860379E-4</v>
      </c>
    </row>
    <row r="160" spans="1:8" x14ac:dyDescent="0.45">
      <c r="A160" s="2">
        <v>45957</v>
      </c>
      <c r="B160">
        <v>191.46897888183591</v>
      </c>
      <c r="C160">
        <v>189.17999267578119</v>
      </c>
      <c r="D160">
        <f t="shared" si="6"/>
        <v>1.0120995152483043</v>
      </c>
      <c r="E160">
        <f t="shared" si="7"/>
        <v>0</v>
      </c>
      <c r="F160">
        <f t="shared" si="8"/>
        <v>1</v>
      </c>
      <c r="G160" s="3">
        <f>E160*((B160-B159)/B159)+F160*((C160-C159)/C159)</f>
        <v>2.4643815591385811E-2</v>
      </c>
      <c r="H160">
        <f>E160*(((B160-B159)/B159) - ((C160-C159)/C159))+F160*(((C160-C159)/C159)-((B160-B159)/B159))</f>
        <v>-3.435327122073506E-3</v>
      </c>
    </row>
    <row r="161" spans="1:8" x14ac:dyDescent="0.45">
      <c r="A161" s="2">
        <v>45958</v>
      </c>
      <c r="B161">
        <v>201.0079345703125</v>
      </c>
      <c r="C161">
        <v>189.6000061035156</v>
      </c>
      <c r="D161">
        <f t="shared" si="6"/>
        <v>1.0601683971495683</v>
      </c>
      <c r="E161">
        <f t="shared" si="7"/>
        <v>1</v>
      </c>
      <c r="F161">
        <f t="shared" si="8"/>
        <v>0</v>
      </c>
      <c r="G161" s="3">
        <f>E161*((B161-B160)/B160)+F161*((C161-C160)/C160)</f>
        <v>4.9819849378125676E-2</v>
      </c>
      <c r="H161">
        <f>E161*(((B161-B160)/B160) - ((C161-C160)/C160))+F161*(((C161-C160)/C160)-((B161-B160)/B160))</f>
        <v>4.7599670479745934E-2</v>
      </c>
    </row>
    <row r="162" spans="1:8" x14ac:dyDescent="0.45">
      <c r="A162" s="2">
        <v>45959</v>
      </c>
      <c r="B162">
        <v>207.01727294921881</v>
      </c>
      <c r="C162">
        <v>198.80999755859381</v>
      </c>
      <c r="D162">
        <f t="shared" si="6"/>
        <v>1.041282005389121</v>
      </c>
      <c r="E162">
        <f t="shared" si="7"/>
        <v>1</v>
      </c>
      <c r="F162">
        <f t="shared" si="8"/>
        <v>0</v>
      </c>
      <c r="G162" s="3">
        <f>E162*((B162-B161)/B161)+F162*((C162-C161)/C161)</f>
        <v>2.9896025705414341E-2</v>
      </c>
      <c r="H162">
        <f>E162*(((B162-B161)/B161) - ((C162-C161)/C161))+F162*(((C162-C161)/C161)-((B162-B161)/B161))</f>
        <v>-1.8679877029788353E-2</v>
      </c>
    </row>
    <row r="163" spans="1:8" x14ac:dyDescent="0.45">
      <c r="A163" s="2">
        <v>45960</v>
      </c>
      <c r="B163">
        <v>202.86772155761719</v>
      </c>
      <c r="C163">
        <v>194.55000305175781</v>
      </c>
      <c r="D163">
        <f t="shared" si="6"/>
        <v>1.0427536282466494</v>
      </c>
      <c r="E163">
        <f t="shared" si="7"/>
        <v>1</v>
      </c>
      <c r="F163">
        <f t="shared" si="8"/>
        <v>0</v>
      </c>
      <c r="G163" s="3">
        <f>E163*((B163-B162)/B162)+F163*((C163-C162)/C162)</f>
        <v>-2.0044469393718182E-2</v>
      </c>
      <c r="H163">
        <f>E163*(((B163-B162)/B162) - ((C163-C162)/C162))+F163*(((C163-C162)/C162)-((B163-B162)/B162))</f>
        <v>1.3829968260350642E-3</v>
      </c>
    </row>
    <row r="164" spans="1:8" x14ac:dyDescent="0.45">
      <c r="A164" s="2">
        <v>45961</v>
      </c>
      <c r="B164">
        <v>202.4677734375</v>
      </c>
      <c r="C164">
        <v>200.4700012207031</v>
      </c>
      <c r="D164">
        <f t="shared" si="6"/>
        <v>1.0099654422339106</v>
      </c>
      <c r="E164">
        <f t="shared" si="7"/>
        <v>0</v>
      </c>
      <c r="F164">
        <f t="shared" si="8"/>
        <v>1</v>
      </c>
      <c r="G164" s="3">
        <f>E164*((B164-B163)/B163)+F164*((C164-C163)/C163)</f>
        <v>3.0429185690479459E-2</v>
      </c>
      <c r="H164">
        <f>E164*(((B164-B163)/B163) - ((C164-C163)/C163))+F164*(((C164-C163)/C163)-((B164-B163)/B163))</f>
        <v>3.2400658121117455E-2</v>
      </c>
    </row>
    <row r="165" spans="1:8" x14ac:dyDescent="0.45">
      <c r="A165" s="2">
        <v>45964</v>
      </c>
      <c r="B165">
        <v>206.85728454589841</v>
      </c>
      <c r="C165">
        <v>207.17999267578119</v>
      </c>
      <c r="D165">
        <f t="shared" si="6"/>
        <v>0.99844237792600088</v>
      </c>
      <c r="E165">
        <f t="shared" si="7"/>
        <v>0</v>
      </c>
      <c r="F165">
        <f t="shared" si="8"/>
        <v>1</v>
      </c>
      <c r="G165" s="3">
        <f>E165*((B165-B164)/B164)+F165*((C165-C164)/C164)</f>
        <v>3.3471299517232392E-2</v>
      </c>
      <c r="H165">
        <f>E165*(((B165-B164)/B164) - ((C165-C164)/C164))+F165*(((C165-C164)/C164)-((B165-B164)/B164))</f>
        <v>1.1791251211898446E-2</v>
      </c>
    </row>
    <row r="166" spans="1:8" x14ac:dyDescent="0.45">
      <c r="A166" s="2">
        <v>45965</v>
      </c>
      <c r="B166">
        <v>198.6681823730469</v>
      </c>
      <c r="C166">
        <v>190.74000549316409</v>
      </c>
      <c r="D166">
        <f t="shared" si="6"/>
        <v>1.0415653593979106</v>
      </c>
      <c r="E166">
        <f t="shared" si="7"/>
        <v>1</v>
      </c>
      <c r="F166">
        <f t="shared" si="8"/>
        <v>0</v>
      </c>
      <c r="G166" s="3">
        <f>E166*((B166-B165)/B165)+F166*((C166-C165)/C165)</f>
        <v>-3.9588173995557169E-2</v>
      </c>
      <c r="H166">
        <f>E166*(((B166-B165)/B165) - ((C166-C165)/C165))+F166*(((C166-C165)/C165)-((B166-B165)/B165))</f>
        <v>3.9763055678170373E-2</v>
      </c>
    </row>
    <row r="167" spans="1:8" x14ac:dyDescent="0.45">
      <c r="A167" s="2">
        <v>45966</v>
      </c>
      <c r="B167">
        <v>195.18858337402341</v>
      </c>
      <c r="C167">
        <v>187.8999938964844</v>
      </c>
      <c r="D167">
        <f t="shared" si="6"/>
        <v>1.0387897270585029</v>
      </c>
      <c r="E167">
        <f t="shared" si="7"/>
        <v>1</v>
      </c>
      <c r="F167">
        <f t="shared" si="8"/>
        <v>0</v>
      </c>
      <c r="G167" s="3">
        <f>E167*((B167-B166)/B166)+F167*((C167-C166)/C166)</f>
        <v>-1.7514626436203645E-2</v>
      </c>
      <c r="H167">
        <f>E167*(((B167-B166)/B166) - ((C167-C166)/C166))+F167*(((C167-C166)/C166)-((B167-B166)/B166))</f>
        <v>-2.6251878554677827E-3</v>
      </c>
    </row>
    <row r="168" spans="1:8" x14ac:dyDescent="0.45">
      <c r="A168" s="2">
        <v>45967</v>
      </c>
      <c r="B168">
        <v>188.0593566894531</v>
      </c>
      <c r="C168">
        <v>175.05000305175781</v>
      </c>
      <c r="D168">
        <f t="shared" si="6"/>
        <v>1.0743179286540701</v>
      </c>
      <c r="E168">
        <f t="shared" si="7"/>
        <v>1</v>
      </c>
      <c r="F168">
        <f t="shared" si="8"/>
        <v>0</v>
      </c>
      <c r="G168" s="3">
        <f>E168*((B168-B167)/B167)+F168*((C168-C167)/C167)</f>
        <v>-3.6524813907323553E-2</v>
      </c>
      <c r="H168">
        <f>E168*(((B168-B167)/B167) - ((C168-C167)/C167))+F168*(((C168-C167)/C167)-((B168-B167)/B167))</f>
        <v>3.1862579717637146E-2</v>
      </c>
    </row>
    <row r="169" spans="1:8" x14ac:dyDescent="0.45">
      <c r="A169" s="2">
        <v>45968</v>
      </c>
      <c r="B169">
        <v>188.12934875488281</v>
      </c>
      <c r="C169">
        <v>177.92999267578119</v>
      </c>
      <c r="D169">
        <f t="shared" si="6"/>
        <v>1.0573222980888139</v>
      </c>
      <c r="E169">
        <f t="shared" si="7"/>
        <v>1</v>
      </c>
      <c r="F169">
        <f t="shared" si="8"/>
        <v>0</v>
      </c>
      <c r="G169" s="3">
        <f>E169*((B169-B168)/B168)+F169*((C169-C168)/C168)</f>
        <v>3.7218071284427228E-4</v>
      </c>
      <c r="H169">
        <f>E169*(((B169-B168)/B168) - ((C169-C168)/C168))+F169*(((C169-C168)/C168)-((B169-B168)/B168))</f>
        <v>-1.608020188535449E-2</v>
      </c>
    </row>
    <row r="170" spans="1:8" x14ac:dyDescent="0.45">
      <c r="A170" s="2">
        <v>45971</v>
      </c>
      <c r="B170">
        <v>199.02815246582031</v>
      </c>
      <c r="C170">
        <v>193.61000061035159</v>
      </c>
      <c r="D170">
        <f t="shared" si="6"/>
        <v>1.0279848759794852</v>
      </c>
      <c r="E170">
        <f t="shared" si="7"/>
        <v>0</v>
      </c>
      <c r="F170">
        <f t="shared" si="8"/>
        <v>1</v>
      </c>
      <c r="G170" s="3">
        <f>E170*((B170-B169)/B169)+F170*((C170-C169)/C169)</f>
        <v>8.8124591581038553E-2</v>
      </c>
      <c r="H170">
        <f>E170*(((B170-B169)/B169) - ((C170-C169)/C169))+F170*(((C170-C169)/C169)-((B170-B169)/B169))</f>
        <v>3.0192090442485463E-2</v>
      </c>
    </row>
    <row r="171" spans="1:8" x14ac:dyDescent="0.45">
      <c r="A171" s="2">
        <v>45972</v>
      </c>
      <c r="B171">
        <v>193.1387939453125</v>
      </c>
      <c r="C171">
        <v>190.96000671386719</v>
      </c>
      <c r="D171">
        <f t="shared" si="6"/>
        <v>1.011409652046724</v>
      </c>
      <c r="E171">
        <f t="shared" si="7"/>
        <v>0</v>
      </c>
      <c r="F171">
        <f t="shared" si="8"/>
        <v>1</v>
      </c>
      <c r="G171" s="3">
        <f>E171*((B171-B170)/B170)+F171*((C171-C170)/C170)</f>
        <v>-1.3687277971852443E-2</v>
      </c>
      <c r="H171">
        <f>E171*(((B171-B170)/B170) - ((C171-C170)/C170))+F171*(((C171-C170)/C170)-((B171-B170)/B170))</f>
        <v>1.5903302293013399E-2</v>
      </c>
    </row>
    <row r="172" spans="1:8" x14ac:dyDescent="0.45">
      <c r="A172" s="2">
        <v>45973</v>
      </c>
      <c r="B172">
        <v>193.77873229980469</v>
      </c>
      <c r="C172">
        <v>184.16999816894531</v>
      </c>
      <c r="D172">
        <f t="shared" si="6"/>
        <v>1.052173178185325</v>
      </c>
      <c r="E172">
        <f t="shared" si="7"/>
        <v>1</v>
      </c>
      <c r="F172">
        <f t="shared" si="8"/>
        <v>0</v>
      </c>
      <c r="G172" s="3">
        <f>E172*((B172-B171)/B171)+F172*((C172-C171)/C171)</f>
        <v>3.313360000960692E-3</v>
      </c>
      <c r="H172">
        <f>E172*(((B172-B171)/B171) - ((C172-C171)/C171))+F172*(((C172-C171)/C171)-((B172-B171)/B171))</f>
        <v>3.8870588248737015E-2</v>
      </c>
    </row>
    <row r="173" spans="1:8" x14ac:dyDescent="0.45">
      <c r="A173" s="2">
        <v>45974</v>
      </c>
      <c r="B173">
        <v>186.8394775390625</v>
      </c>
      <c r="C173">
        <v>172.13999938964841</v>
      </c>
      <c r="D173">
        <f t="shared" si="6"/>
        <v>1.0853925769811408</v>
      </c>
      <c r="E173">
        <f t="shared" si="7"/>
        <v>1</v>
      </c>
      <c r="F173">
        <f t="shared" si="8"/>
        <v>0</v>
      </c>
      <c r="G173" s="3">
        <f>E173*((B173-B172)/B172)+F173*((C173-C172)/C172)</f>
        <v>-3.5810197942703653E-2</v>
      </c>
      <c r="H173">
        <f>E173*(((B173-B172)/B172) - ((C173-C172)/C172))+F173*(((C173-C172)/C172)-((B173-B172)/B172))</f>
        <v>2.9509880782938633E-2</v>
      </c>
    </row>
    <row r="174" spans="1:8" x14ac:dyDescent="0.45">
      <c r="A174" s="2">
        <v>45975</v>
      </c>
      <c r="B174">
        <v>190.14910888671881</v>
      </c>
      <c r="C174">
        <v>174.00999450683591</v>
      </c>
      <c r="D174">
        <f t="shared" si="6"/>
        <v>1.092748203490397</v>
      </c>
      <c r="E174">
        <f t="shared" si="7"/>
        <v>1</v>
      </c>
      <c r="F174">
        <f t="shared" si="8"/>
        <v>0</v>
      </c>
      <c r="G174" s="3">
        <f>E174*((B174-B173)/B173)+F174*((C174-C173)/C173)</f>
        <v>1.7713769013105715E-2</v>
      </c>
      <c r="H174">
        <f>E174*(((B174-B173)/B173) - ((C174-C173)/C173))+F174*(((C174-C173)/C173)-((B174-B173)/B173))</f>
        <v>6.8505464976073693E-3</v>
      </c>
    </row>
    <row r="175" spans="1:8" x14ac:dyDescent="0.45">
      <c r="A175" s="2">
        <v>45978</v>
      </c>
      <c r="B175">
        <v>186.57951354980469</v>
      </c>
      <c r="C175">
        <v>171.25</v>
      </c>
      <c r="D175">
        <f t="shared" si="6"/>
        <v>1.0895154075901003</v>
      </c>
      <c r="E175">
        <f t="shared" si="7"/>
        <v>1</v>
      </c>
      <c r="F175">
        <f t="shared" si="8"/>
        <v>0</v>
      </c>
      <c r="G175" s="3">
        <f>E175*((B175-B174)/B174)+F175*((C175-C174)/C174)</f>
        <v>-1.8772611440638954E-2</v>
      </c>
      <c r="H175">
        <f>E175*(((B175-B174)/B174) - ((C175-C174)/C174))+F175*(((C175-C174)/C174)-((B175-B174)/B174))</f>
        <v>-2.9114851032808788E-3</v>
      </c>
    </row>
    <row r="176" spans="1:8" x14ac:dyDescent="0.45">
      <c r="A176" s="2">
        <v>45979</v>
      </c>
      <c r="B176">
        <v>181.340087890625</v>
      </c>
      <c r="C176">
        <v>167.33000183105469</v>
      </c>
      <c r="D176">
        <f t="shared" si="6"/>
        <v>1.0837272808597447</v>
      </c>
      <c r="E176">
        <f t="shared" si="7"/>
        <v>1</v>
      </c>
      <c r="F176">
        <f t="shared" si="8"/>
        <v>0</v>
      </c>
      <c r="G176" s="3">
        <f>E176*((B176-B175)/B175)+F176*((C176-C175)/C175)</f>
        <v>-2.8081462747415187E-2</v>
      </c>
      <c r="H176">
        <f>E176*(((B176-B175)/B175) - ((C176-C175)/C175))+F176*(((C176-C175)/C175)-((B176-B175)/B175))</f>
        <v>-5.1909624908002237E-3</v>
      </c>
    </row>
    <row r="177" spans="1:8" x14ac:dyDescent="0.45">
      <c r="A177" s="2">
        <v>45980</v>
      </c>
      <c r="B177">
        <v>186.49952697753909</v>
      </c>
      <c r="C177">
        <v>165.41999816894531</v>
      </c>
      <c r="D177">
        <f t="shared" si="6"/>
        <v>1.1274303532941949</v>
      </c>
      <c r="E177">
        <f t="shared" si="7"/>
        <v>1</v>
      </c>
      <c r="F177">
        <f t="shared" si="8"/>
        <v>0</v>
      </c>
      <c r="G177" s="3">
        <f>E177*((B177-B176)/B176)+F177*((C177-C176)/C176)</f>
        <v>2.845172927249268E-2</v>
      </c>
      <c r="H177">
        <f>E177*(((B177-B176)/B176) - ((C177-C176)/C176))+F177*(((C177-C176)/C176)-((B177-B176)/B176))</f>
        <v>3.986632104449192E-2</v>
      </c>
    </row>
    <row r="178" spans="1:8" x14ac:dyDescent="0.45">
      <c r="A178" s="2">
        <v>45981</v>
      </c>
      <c r="B178">
        <v>180.62016296386719</v>
      </c>
      <c r="C178">
        <v>155.7449951171875</v>
      </c>
      <c r="D178">
        <f t="shared" si="6"/>
        <v>1.1597172854765754</v>
      </c>
      <c r="E178">
        <f t="shared" si="7"/>
        <v>1</v>
      </c>
      <c r="F178">
        <f t="shared" si="8"/>
        <v>0</v>
      </c>
      <c r="G178" s="3">
        <f>E178*((B178-B177)/B177)+F178*((C178-C177)/C177)</f>
        <v>-3.1524819976513824E-2</v>
      </c>
      <c r="H178">
        <f>E178*(((B178-B177)/B177) - ((C178-C177)/C177))+F178*(((C178-C177)/C177)-((B178-B177)/B177))</f>
        <v>2.6962685517692639E-2</v>
      </c>
    </row>
    <row r="179" spans="1:8" x14ac:dyDescent="0.45">
      <c r="A179" s="2">
        <v>45982</v>
      </c>
      <c r="B179">
        <v>178.86036682128909</v>
      </c>
      <c r="C179">
        <v>154.8500061035156</v>
      </c>
      <c r="D179">
        <f t="shared" si="6"/>
        <v>1.1550556007193362</v>
      </c>
      <c r="E179">
        <f t="shared" si="7"/>
        <v>1</v>
      </c>
      <c r="F179">
        <f t="shared" si="8"/>
        <v>0</v>
      </c>
      <c r="G179" s="3">
        <f>E179*((B179-B178)/B178)+F179*((C179-C178)/C178)</f>
        <v>-9.7430769284055033E-3</v>
      </c>
      <c r="H179">
        <f>E179*(((B179-B178)/B178) - ((C179-C178)/C178))+F179*(((C179-C178)/C178)-((B179-B178)/B178))</f>
        <v>-3.9965743650423264E-3</v>
      </c>
    </row>
    <row r="180" spans="1:8" x14ac:dyDescent="0.45">
      <c r="A180" s="2">
        <v>45985</v>
      </c>
      <c r="B180">
        <v>182.52996826171881</v>
      </c>
      <c r="C180">
        <v>162.25</v>
      </c>
      <c r="D180">
        <f t="shared" si="6"/>
        <v>1.1249921002263101</v>
      </c>
      <c r="E180">
        <f t="shared" si="7"/>
        <v>1</v>
      </c>
      <c r="F180">
        <f t="shared" si="8"/>
        <v>0</v>
      </c>
      <c r="G180" s="3">
        <f>E180*((B180-B179)/B179)+F180*((C180-C179)/C179)</f>
        <v>2.051657114231601E-2</v>
      </c>
      <c r="H180">
        <f>E180*(((B180-B179)/B179) - ((C180-C179)/C179))+F180*(((C180-C179)/C179)-((B180-B179)/B179))</f>
        <v>-2.727156967013953E-2</v>
      </c>
    </row>
    <row r="181" spans="1:8" x14ac:dyDescent="0.45">
      <c r="A181" s="2">
        <v>45986</v>
      </c>
      <c r="B181">
        <v>177.80047607421881</v>
      </c>
      <c r="C181">
        <v>163.55000305175781</v>
      </c>
      <c r="D181">
        <f t="shared" si="6"/>
        <v>1.0871322088447239</v>
      </c>
      <c r="E181">
        <f t="shared" si="7"/>
        <v>0</v>
      </c>
      <c r="F181">
        <f t="shared" si="8"/>
        <v>1</v>
      </c>
      <c r="G181" s="3">
        <f>E181*((B181-B180)/B180)+F181*((C181-C180)/C180)</f>
        <v>8.01234546537943E-3</v>
      </c>
      <c r="H181">
        <f>E181*(((B181-B180)/B180) - ((C181-C180)/C180))+F181*(((C181-C180)/C180)-((B181-B180)/B180))</f>
        <v>3.3923116351608176E-2</v>
      </c>
    </row>
    <row r="182" spans="1:8" x14ac:dyDescent="0.45">
      <c r="A182" s="2">
        <v>45987</v>
      </c>
      <c r="B182">
        <v>180.2402038574219</v>
      </c>
      <c r="C182">
        <v>165.77000427246091</v>
      </c>
      <c r="D182">
        <f t="shared" si="6"/>
        <v>1.0872908198830571</v>
      </c>
      <c r="E182">
        <f t="shared" si="7"/>
        <v>0</v>
      </c>
      <c r="F182">
        <f t="shared" si="8"/>
        <v>1</v>
      </c>
      <c r="G182" s="3">
        <f>E182*((B182-B181)/B181)+F182*((C182-C181)/C181)</f>
        <v>1.3573837843344733E-2</v>
      </c>
      <c r="H182">
        <f>E182*(((B182-B181)/B181) - ((C182-C181)/C181))+F182*(((C182-C181)/C181)-((B182-B181)/B181))</f>
        <v>-1.4787897694481036E-4</v>
      </c>
    </row>
    <row r="183" spans="1:8" x14ac:dyDescent="0.45">
      <c r="A183" s="2">
        <v>45989</v>
      </c>
      <c r="B183">
        <v>176.9805603027344</v>
      </c>
      <c r="C183">
        <v>168.44999694824219</v>
      </c>
      <c r="D183">
        <f t="shared" si="6"/>
        <v>1.050641516824208</v>
      </c>
      <c r="E183">
        <f t="shared" si="7"/>
        <v>0</v>
      </c>
      <c r="F183">
        <f t="shared" si="8"/>
        <v>1</v>
      </c>
      <c r="G183" s="3">
        <f>E183*((B183-B182)/B182)+F183*((C183-C182)/C182)</f>
        <v>1.6166933743793726E-2</v>
      </c>
      <c r="H183">
        <f>E183*(((B183-B182)/B182) - ((C183-C182)/C182))+F183*(((C183-C182)/C182)-((B183-B182)/B182))</f>
        <v>3.4251930791766576E-2</v>
      </c>
    </row>
    <row r="184" spans="1:8" x14ac:dyDescent="0.45">
      <c r="A184" s="2">
        <v>45992</v>
      </c>
      <c r="B184">
        <v>179.90025329589841</v>
      </c>
      <c r="C184">
        <v>167.49000549316409</v>
      </c>
      <c r="D184">
        <f t="shared" si="6"/>
        <v>1.0740954528372788</v>
      </c>
      <c r="E184">
        <f t="shared" si="7"/>
        <v>0</v>
      </c>
      <c r="F184">
        <f t="shared" si="8"/>
        <v>1</v>
      </c>
      <c r="G184" s="3">
        <f>E184*((B184-B183)/B183)+F184*((C184-C183)/C183)</f>
        <v>-5.6989698573462295E-3</v>
      </c>
      <c r="H184">
        <f>E184*(((B184-B183)/B183) - ((C184-C183)/C183))+F184*(((C184-C183)/C183)-((B184-B183)/B183))</f>
        <v>-2.2196222370106499E-2</v>
      </c>
    </row>
    <row r="185" spans="1:8" x14ac:dyDescent="0.45">
      <c r="A185" s="2">
        <v>45993</v>
      </c>
      <c r="B185">
        <v>181.44007873535159</v>
      </c>
      <c r="C185">
        <v>170.69000244140619</v>
      </c>
      <c r="D185">
        <f t="shared" si="6"/>
        <v>1.062980116821052</v>
      </c>
      <c r="E185">
        <f t="shared" si="7"/>
        <v>0</v>
      </c>
      <c r="F185">
        <f t="shared" si="8"/>
        <v>1</v>
      </c>
      <c r="G185" s="3">
        <f>E185*((B185-B184)/B184)+F185*((C185-C184)/C184)</f>
        <v>1.9105599398721772E-2</v>
      </c>
      <c r="H185">
        <f>E185*(((B185-B184)/B184) - ((C185-C184)/C184))+F185*(((C185-C184)/C184)-((B185-B184)/B184))</f>
        <v>1.0546270485935361E-2</v>
      </c>
    </row>
    <row r="186" spans="1:8" x14ac:dyDescent="0.45">
      <c r="A186" s="2">
        <v>45994</v>
      </c>
      <c r="B186">
        <v>179.5702819824219</v>
      </c>
      <c r="C186">
        <v>176.08000183105469</v>
      </c>
      <c r="D186">
        <f t="shared" si="6"/>
        <v>1.0198221269597445</v>
      </c>
      <c r="E186">
        <f t="shared" si="7"/>
        <v>0</v>
      </c>
      <c r="F186">
        <f t="shared" si="8"/>
        <v>1</v>
      </c>
      <c r="G186" s="3">
        <f>E186*((B186-B185)/B185)+F186*((C186-C185)/C185)</f>
        <v>3.157770995696571E-2</v>
      </c>
      <c r="H186">
        <f>E186*(((B186-B185)/B185) - ((C186-C185)/C185))+F186*(((C186-C185)/C185)-((B186-B185)/B185))</f>
        <v>4.1883022685896852E-2</v>
      </c>
    </row>
    <row r="187" spans="1:8" x14ac:dyDescent="0.45">
      <c r="A187" s="2">
        <v>45995</v>
      </c>
      <c r="B187">
        <v>183.3700866699219</v>
      </c>
      <c r="C187">
        <v>177.91999816894531</v>
      </c>
      <c r="D187">
        <f t="shared" si="6"/>
        <v>1.0306322423396239</v>
      </c>
      <c r="E187">
        <f t="shared" si="7"/>
        <v>0</v>
      </c>
      <c r="F187">
        <f t="shared" si="8"/>
        <v>1</v>
      </c>
      <c r="G187" s="3">
        <f>E187*((B187-B186)/B186)+F187*((C187-C186)/C186)</f>
        <v>1.0449774640825285E-2</v>
      </c>
      <c r="H187">
        <f>E187*(((B187-B186)/B186) - ((C187-C186)/C186))+F187*(((C187-C186)/C186)-((B187-B186)/B186))</f>
        <v>-1.0710768437633333E-2</v>
      </c>
    </row>
    <row r="188" spans="1:8" x14ac:dyDescent="0.45">
      <c r="A188" s="2">
        <v>45996</v>
      </c>
      <c r="B188">
        <v>182.40013122558591</v>
      </c>
      <c r="C188">
        <v>181.75999450683591</v>
      </c>
      <c r="D188">
        <f t="shared" si="6"/>
        <v>1.0035218790608289</v>
      </c>
      <c r="E188">
        <f t="shared" si="7"/>
        <v>0</v>
      </c>
      <c r="F188">
        <f t="shared" si="8"/>
        <v>1</v>
      </c>
      <c r="G188" s="3">
        <f>E188*((B188-B187)/B187)+F188*((C188-C187)/C187)</f>
        <v>2.158271345216797E-2</v>
      </c>
      <c r="H188">
        <f>E188*(((B188-B187)/B187) - ((C188-C187)/C187))+F188*(((C188-C187)/C187)-((B188-B187)/B187))</f>
        <v>2.6872319090420066E-2</v>
      </c>
    </row>
    <row r="189" spans="1:8" x14ac:dyDescent="0.45">
      <c r="A189" s="2">
        <v>45999</v>
      </c>
      <c r="B189">
        <v>185.53996276855469</v>
      </c>
      <c r="C189">
        <v>181.49000549316409</v>
      </c>
      <c r="D189">
        <f t="shared" si="6"/>
        <v>1.0223150429930596</v>
      </c>
      <c r="E189">
        <f t="shared" si="7"/>
        <v>0</v>
      </c>
      <c r="F189">
        <f t="shared" si="8"/>
        <v>1</v>
      </c>
      <c r="G189" s="3">
        <f>E189*((B189-B188)/B188)+F189*((C189-C188)/C188)</f>
        <v>-1.4854149528578688E-3</v>
      </c>
      <c r="H189">
        <f>E189*(((B189-B188)/B188) - ((C189-C188)/C188))+F189*(((C189-C188)/C188)-((B189-B188)/B188))</f>
        <v>-1.869939129087677E-2</v>
      </c>
    </row>
    <row r="190" spans="1:8" x14ac:dyDescent="0.45">
      <c r="A190" s="2">
        <v>46000</v>
      </c>
      <c r="B190">
        <v>184.9599914550781</v>
      </c>
      <c r="C190">
        <v>181.8399963378906</v>
      </c>
      <c r="D190">
        <f t="shared" si="6"/>
        <v>1.0171579145403742</v>
      </c>
      <c r="E190">
        <f t="shared" si="7"/>
        <v>0</v>
      </c>
      <c r="F190">
        <f t="shared" si="8"/>
        <v>1</v>
      </c>
      <c r="G190" s="3">
        <f>E190*((B190-B189)/B189)+F190*((C190-C189)/C189)</f>
        <v>1.9284304046135931E-3</v>
      </c>
      <c r="H190">
        <f>E190*(((B190-B189)/B189) - ((C190-C189)/C189))+F190*(((C190-C189)/C189)-((B190-B189)/B189))</f>
        <v>5.0542869846327224E-3</v>
      </c>
    </row>
    <row r="191" spans="1:8" x14ac:dyDescent="0.45">
      <c r="A191" s="2">
        <v>46001</v>
      </c>
      <c r="B191">
        <v>183.7700500488281</v>
      </c>
      <c r="C191">
        <v>187.9100036621094</v>
      </c>
      <c r="D191">
        <f t="shared" si="6"/>
        <v>0.97796842353999647</v>
      </c>
      <c r="E191">
        <f t="shared" si="7"/>
        <v>0</v>
      </c>
      <c r="F191">
        <f t="shared" si="8"/>
        <v>1</v>
      </c>
      <c r="G191" s="3">
        <f>E191*((B191-B190)/B190)+F191*((C191-C190)/C190)</f>
        <v>3.3381035231323193E-2</v>
      </c>
      <c r="H191">
        <f>E191*(((B191-B190)/B190) - ((C191-C190)/C190))+F191*(((C191-C190)/C190)-((B191-B190)/B190))</f>
        <v>3.9814542266486556E-2</v>
      </c>
    </row>
    <row r="192" spans="1:8" x14ac:dyDescent="0.45">
      <c r="A192" s="2">
        <v>46002</v>
      </c>
      <c r="B192">
        <v>180.9201965332031</v>
      </c>
      <c r="C192">
        <v>187.53999328613281</v>
      </c>
      <c r="D192">
        <f t="shared" si="6"/>
        <v>0.96470194630523531</v>
      </c>
      <c r="E192">
        <f t="shared" si="7"/>
        <v>0</v>
      </c>
      <c r="F192">
        <f t="shared" si="8"/>
        <v>1</v>
      </c>
      <c r="G192" s="3">
        <f>E192*((B192-B191)/B191)+F192*((C192-C191)/C191)</f>
        <v>-1.9690829054632214E-3</v>
      </c>
      <c r="H192">
        <f>E192*(((B192-B191)/B191) - ((C192-C191)/C191))+F192*(((C192-C191)/C191)-((B192-B191)/B191))</f>
        <v>1.3538631843854135E-2</v>
      </c>
    </row>
    <row r="193" spans="1:8" x14ac:dyDescent="0.45">
      <c r="A193" s="2">
        <v>46003</v>
      </c>
      <c r="B193">
        <v>175.0105285644531</v>
      </c>
      <c r="C193">
        <v>183.57000732421881</v>
      </c>
      <c r="D193">
        <f t="shared" si="6"/>
        <v>0.95337212824397788</v>
      </c>
      <c r="E193">
        <f t="shared" si="7"/>
        <v>0</v>
      </c>
      <c r="F193">
        <f t="shared" si="8"/>
        <v>1</v>
      </c>
      <c r="G193" s="3">
        <f>E193*((B193-B192)/B192)+F193*((C193-C192)/C192)</f>
        <v>-2.116874322298249E-2</v>
      </c>
      <c r="H193">
        <f>E193*(((B193-B192)/B192) - ((C193-C192)/C192))+F193*(((C193-C192)/C192)-((B193-B192)/B192))</f>
        <v>1.1495757932726995E-2</v>
      </c>
    </row>
    <row r="194" spans="1:8" x14ac:dyDescent="0.45">
      <c r="A194" s="2">
        <v>46006</v>
      </c>
      <c r="B194">
        <v>176.28045654296881</v>
      </c>
      <c r="C194">
        <v>183.25</v>
      </c>
      <c r="D194">
        <f t="shared" si="6"/>
        <v>0.96196702069832907</v>
      </c>
      <c r="E194">
        <f t="shared" si="7"/>
        <v>0</v>
      </c>
      <c r="F194">
        <f t="shared" si="8"/>
        <v>1</v>
      </c>
      <c r="G194" s="3">
        <f>E194*((B194-B193)/B193)+F194*((C194-C193)/C193)</f>
        <v>-1.743244056495647E-3</v>
      </c>
      <c r="H194">
        <f>E194*(((B194-B193)/B193) - ((C194-C193)/C193))+F194*(((C194-C193)/C193)-((B194-B193)/B193))</f>
        <v>-8.999538800203136E-3</v>
      </c>
    </row>
    <row r="195" spans="1:8" x14ac:dyDescent="0.45">
      <c r="A195" s="2">
        <v>46007</v>
      </c>
      <c r="B195">
        <v>177.71038818359381</v>
      </c>
      <c r="C195">
        <v>187.75</v>
      </c>
      <c r="D195">
        <f t="shared" ref="D195:D253" si="9">B195/C195</f>
        <v>0.94652670137733053</v>
      </c>
      <c r="E195">
        <f t="shared" si="7"/>
        <v>0</v>
      </c>
      <c r="F195">
        <f t="shared" si="8"/>
        <v>1</v>
      </c>
      <c r="G195" s="3">
        <f>E195*((B195-B194)/B194)+F195*((C195-C194)/C194)</f>
        <v>2.4556616643929059E-2</v>
      </c>
      <c r="H195">
        <f>E195*(((B195-B194)/B194) - ((C195-C194)/C194))+F195*(((C195-C194)/C194)-((B195-B194)/B194))</f>
        <v>1.6444931045494892E-2</v>
      </c>
    </row>
    <row r="196" spans="1:8" x14ac:dyDescent="0.45">
      <c r="A196" s="2">
        <v>46008</v>
      </c>
      <c r="B196">
        <v>170.9307556152344</v>
      </c>
      <c r="C196">
        <v>177.28999328613281</v>
      </c>
      <c r="D196">
        <f t="shared" si="9"/>
        <v>0.96413087082340243</v>
      </c>
      <c r="E196">
        <f t="shared" si="7"/>
        <v>0</v>
      </c>
      <c r="F196">
        <f t="shared" si="8"/>
        <v>1</v>
      </c>
      <c r="G196" s="3">
        <f>E196*((B196-B195)/B195)+F196*((C196-C195)/C195)</f>
        <v>-5.571241924829394E-2</v>
      </c>
      <c r="H196">
        <f>E196*(((B196-B195)/B195) - ((C196-C195)/C195))+F196*(((C196-C195)/C195)-((B196-B195)/B195))</f>
        <v>-1.756252470552068E-2</v>
      </c>
    </row>
    <row r="197" spans="1:8" x14ac:dyDescent="0.45">
      <c r="A197" s="2">
        <v>46009</v>
      </c>
      <c r="B197">
        <v>174.13056945800781</v>
      </c>
      <c r="C197">
        <v>185.69000244140619</v>
      </c>
      <c r="D197">
        <f t="shared" si="9"/>
        <v>0.93774875959169679</v>
      </c>
      <c r="E197">
        <f t="shared" si="7"/>
        <v>0</v>
      </c>
      <c r="F197">
        <f t="shared" si="8"/>
        <v>1</v>
      </c>
      <c r="G197" s="3">
        <f>E197*((B197-B196)/B196)+F197*((C197-C196)/C196)</f>
        <v>4.7380052306259572E-2</v>
      </c>
      <c r="H197">
        <f>E197*(((B197-B196)/B196) - ((C197-C196)/C196))+F197*(((C197-C196)/C196)-((B197-B196)/B196))</f>
        <v>2.8660110238161549E-2</v>
      </c>
    </row>
    <row r="198" spans="1:8" x14ac:dyDescent="0.45">
      <c r="A198" s="2">
        <v>46010</v>
      </c>
      <c r="B198">
        <v>180.98020935058591</v>
      </c>
      <c r="C198">
        <v>193.3800048828125</v>
      </c>
      <c r="D198">
        <f t="shared" si="9"/>
        <v>0.93587860575481518</v>
      </c>
      <c r="E198">
        <f t="shared" si="7"/>
        <v>0</v>
      </c>
      <c r="F198">
        <f t="shared" si="8"/>
        <v>1</v>
      </c>
      <c r="G198" s="3">
        <f>E198*((B198-B197)/B197)+F198*((C198-C197)/C197)</f>
        <v>4.1413120471215779E-2</v>
      </c>
      <c r="H198">
        <f>E198*(((B198-B197)/B197) - ((C198-C197)/C197))+F198*(((C198-C197)/C197)-((B198-B197)/B197))</f>
        <v>2.0768918360139013E-3</v>
      </c>
    </row>
    <row r="199" spans="1:8" x14ac:dyDescent="0.45">
      <c r="A199" s="2">
        <v>46013</v>
      </c>
      <c r="B199">
        <v>183.6800537109375</v>
      </c>
      <c r="C199">
        <v>193.97999572753909</v>
      </c>
      <c r="D199">
        <f t="shared" si="9"/>
        <v>0.94690204019249125</v>
      </c>
      <c r="E199">
        <f t="shared" si="7"/>
        <v>0</v>
      </c>
      <c r="F199">
        <f t="shared" si="8"/>
        <v>1</v>
      </c>
      <c r="G199" s="3">
        <f>E199*((B199-B198)/B198)+F199*((C199-C198)/C198)</f>
        <v>3.1026519266569622E-3</v>
      </c>
      <c r="H199">
        <f>E199*(((B199-B198)/B198) - ((C199-C198)/C198))+F199*(((C199-C198)/C198)-((B199-B198)/B198))</f>
        <v>-1.1815246389625708E-2</v>
      </c>
    </row>
    <row r="200" spans="1:8" x14ac:dyDescent="0.45">
      <c r="A200" s="2">
        <v>46014</v>
      </c>
      <c r="B200">
        <v>189.19976806640619</v>
      </c>
      <c r="C200">
        <v>194.1300048828125</v>
      </c>
      <c r="D200">
        <f t="shared" si="9"/>
        <v>0.9746034271240942</v>
      </c>
      <c r="E200">
        <f t="shared" si="7"/>
        <v>1</v>
      </c>
      <c r="F200">
        <f t="shared" si="8"/>
        <v>0</v>
      </c>
      <c r="G200" s="3">
        <f>E200*((B200-B199)/B199)+F200*((C200-C199)/C199)</f>
        <v>3.0050700900573688E-2</v>
      </c>
      <c r="H200">
        <f>E200*(((B200-B199)/B199) - ((C200-C199)/C199))+F200*(((C200-C199)/C199)-((B200-B199)/B199))</f>
        <v>2.9277378091122196E-2</v>
      </c>
    </row>
    <row r="201" spans="1:8" x14ac:dyDescent="0.45">
      <c r="A201" s="2">
        <v>46015</v>
      </c>
      <c r="B201">
        <v>188.59979248046881</v>
      </c>
      <c r="C201">
        <v>194.16999816894531</v>
      </c>
      <c r="D201">
        <f t="shared" si="9"/>
        <v>0.9713127375958982</v>
      </c>
      <c r="E201">
        <f t="shared" si="7"/>
        <v>1</v>
      </c>
      <c r="F201">
        <f t="shared" si="8"/>
        <v>0</v>
      </c>
      <c r="G201" s="3">
        <f>E201*((B201-B200)/B200)+F201*((C201-C200)/C200)</f>
        <v>-3.1711222062746091E-3</v>
      </c>
      <c r="H201">
        <f>E201*(((B201-B200)/B200) - ((C201-C200)/C200))+F201*(((C201-C200)/C200)-((B201-B200)/B200))</f>
        <v>-3.3771351106525525E-3</v>
      </c>
    </row>
    <row r="202" spans="1:8" x14ac:dyDescent="0.45">
      <c r="A202" s="2">
        <v>46017</v>
      </c>
      <c r="B202">
        <v>190.5196838378906</v>
      </c>
      <c r="C202">
        <v>188.71000671386719</v>
      </c>
      <c r="D202">
        <f t="shared" si="9"/>
        <v>1.0095897252908657</v>
      </c>
      <c r="E202">
        <f t="shared" si="7"/>
        <v>1</v>
      </c>
      <c r="F202">
        <f t="shared" si="8"/>
        <v>0</v>
      </c>
      <c r="G202" s="3">
        <f>E202*((B202-B201)/B201)+F202*((C202-C201)/C201)</f>
        <v>1.0179710869091288E-2</v>
      </c>
      <c r="H202">
        <f>E202*(((B202-B201)/B201) - ((C202-C201)/C201))+F202*(((C202-C201)/C201)-((B202-B201)/B201))</f>
        <v>3.8299356059217124E-2</v>
      </c>
    </row>
    <row r="203" spans="1:8" x14ac:dyDescent="0.45">
      <c r="A203" s="2">
        <v>46020</v>
      </c>
      <c r="B203">
        <v>188.2098083496094</v>
      </c>
      <c r="C203">
        <v>184.17999267578119</v>
      </c>
      <c r="D203">
        <f t="shared" si="9"/>
        <v>1.0218797688895669</v>
      </c>
      <c r="E203">
        <f t="shared" si="7"/>
        <v>1</v>
      </c>
      <c r="F203">
        <f t="shared" si="8"/>
        <v>0</v>
      </c>
      <c r="G203" s="3">
        <f>E203*((B203-B202)/B202)+F203*((C203-C202)/C202)</f>
        <v>-1.2124077899723055E-2</v>
      </c>
      <c r="H203">
        <f>E203*(((B203-B202)/B202) - ((C203-C202)/C202))+F203*(((C203-C202)/C202)-((B203-B202)/B202))</f>
        <v>1.1881082806750017E-2</v>
      </c>
    </row>
    <row r="204" spans="1:8" x14ac:dyDescent="0.45">
      <c r="A204" s="2">
        <v>46021</v>
      </c>
      <c r="B204">
        <v>187.52984619140619</v>
      </c>
      <c r="C204">
        <v>180.8399963378906</v>
      </c>
      <c r="D204">
        <f t="shared" si="9"/>
        <v>1.0369931983465424</v>
      </c>
      <c r="E204">
        <f t="shared" si="7"/>
        <v>1</v>
      </c>
      <c r="F204">
        <f t="shared" si="8"/>
        <v>0</v>
      </c>
      <c r="G204" s="3">
        <f>E204*((B204-B203)/B203)+F204*((C204-C203)/C203)</f>
        <v>-3.6127881121909735E-3</v>
      </c>
      <c r="H204">
        <f>E204*(((B204-B203)/B203) - ((C204-C203)/C203))+F204*(((C204-C203)/C203)-((B204-B203)/B203))</f>
        <v>1.4521626431793264E-2</v>
      </c>
    </row>
    <row r="205" spans="1:8" x14ac:dyDescent="0.45">
      <c r="A205" s="2">
        <v>46022</v>
      </c>
      <c r="B205">
        <v>186.48991394042969</v>
      </c>
      <c r="C205">
        <v>177.75</v>
      </c>
      <c r="D205">
        <f t="shared" si="9"/>
        <v>1.0491696986803358</v>
      </c>
      <c r="E205">
        <f t="shared" si="7"/>
        <v>1</v>
      </c>
      <c r="F205">
        <f t="shared" si="8"/>
        <v>0</v>
      </c>
      <c r="G205" s="3">
        <f>E205*((B205-B204)/B204)+F205*((C205-C204)/C204)</f>
        <v>-5.5454226199016738E-3</v>
      </c>
      <c r="H205">
        <f>E205*(((B205-B204)/B204) - ((C205-C204)/C204))+F205*(((C205-C204)/C204)-((B205-B204)/B204))</f>
        <v>1.1541485146437203E-2</v>
      </c>
    </row>
    <row r="206" spans="1:8" x14ac:dyDescent="0.45">
      <c r="A206" s="2">
        <v>46024</v>
      </c>
      <c r="B206">
        <v>188.83978271484381</v>
      </c>
      <c r="C206">
        <v>167.86000061035159</v>
      </c>
      <c r="D206">
        <f t="shared" si="9"/>
        <v>1.1249838081032297</v>
      </c>
      <c r="E206">
        <f t="shared" si="7"/>
        <v>1</v>
      </c>
      <c r="F206">
        <f t="shared" si="8"/>
        <v>0</v>
      </c>
      <c r="G206" s="3">
        <f>E206*((B206-B205)/B205)+F206*((C206-C205)/C205)</f>
        <v>1.2600514015812865E-2</v>
      </c>
      <c r="H206">
        <f>E206*(((B206-B205)/B205) - ((C206-C205)/C205))+F206*(((C206-C205)/C205)-((B206-B205)/B205))</f>
        <v>6.8240454323258204E-2</v>
      </c>
    </row>
    <row r="207" spans="1:8" x14ac:dyDescent="0.45">
      <c r="A207" s="2">
        <v>46027</v>
      </c>
      <c r="B207">
        <v>188.10981750488281</v>
      </c>
      <c r="C207">
        <v>174.03999328613281</v>
      </c>
      <c r="D207">
        <f t="shared" si="9"/>
        <v>1.0808424773702348</v>
      </c>
      <c r="E207">
        <f t="shared" si="7"/>
        <v>1</v>
      </c>
      <c r="F207">
        <f t="shared" si="8"/>
        <v>0</v>
      </c>
      <c r="G207" s="3">
        <f>E207*((B207-B206)/B206)+F207*((C207-C206)/C206)</f>
        <v>-3.8655266356839289E-3</v>
      </c>
      <c r="H207">
        <f>E207*(((B207-B206)/B206) - ((C207-C206)/C206))+F207*(((C207-C206)/C206)-((B207-B206)/B206))</f>
        <v>-4.0681877483475563E-2</v>
      </c>
    </row>
    <row r="208" spans="1:8" x14ac:dyDescent="0.45">
      <c r="A208" s="2">
        <v>46028</v>
      </c>
      <c r="B208">
        <v>187.22987365722659</v>
      </c>
      <c r="C208">
        <v>179.71000671386719</v>
      </c>
      <c r="D208">
        <f t="shared" si="9"/>
        <v>1.0418444530767419</v>
      </c>
      <c r="E208">
        <f t="shared" ref="E208:E253" si="10">IF(D208&gt;(AVERAGE(D195:D207)),1,0)</f>
        <v>1</v>
      </c>
      <c r="F208">
        <f t="shared" ref="F208:F253" si="11">IF(D208&lt;(AVERAGE(D195:D207)),1,0)</f>
        <v>0</v>
      </c>
      <c r="G208" s="3">
        <f>E208*((B208-B207)/B207)+F208*((C208-C207)/C207)</f>
        <v>-4.6778198997156576E-3</v>
      </c>
      <c r="H208">
        <f>E208*(((B208-B207)/B207) - ((C208-C207)/C207))+F208*(((C208-C207)/C207)-((B208-B207)/B207))</f>
        <v>-3.7256615845843465E-2</v>
      </c>
    </row>
    <row r="209" spans="1:8" x14ac:dyDescent="0.45">
      <c r="A209" s="2">
        <v>46029</v>
      </c>
      <c r="B209">
        <v>189.0997619628906</v>
      </c>
      <c r="C209">
        <v>181.67999267578119</v>
      </c>
      <c r="D209">
        <f t="shared" si="9"/>
        <v>1.0408397709501807</v>
      </c>
      <c r="E209">
        <f t="shared" si="10"/>
        <v>1</v>
      </c>
      <c r="F209">
        <f t="shared" si="11"/>
        <v>0</v>
      </c>
      <c r="G209" s="3">
        <f>E209*((B209-B208)/B208)+F209*((C209-C208)/C208)</f>
        <v>9.9871258209965289E-3</v>
      </c>
      <c r="H209">
        <f>E209*(((B209-B208)/B208) - ((C209-C208)/C208))+F209*(((C209-C208)/C208)-((B209-B208)/B208))</f>
        <v>-9.7490126885051154E-4</v>
      </c>
    </row>
    <row r="210" spans="1:8" x14ac:dyDescent="0.45">
      <c r="A210" s="2">
        <v>46030</v>
      </c>
      <c r="B210">
        <v>185.02998352050781</v>
      </c>
      <c r="C210">
        <v>176.86000061035159</v>
      </c>
      <c r="D210">
        <f t="shared" si="9"/>
        <v>1.0461946335065093</v>
      </c>
      <c r="E210">
        <f t="shared" si="10"/>
        <v>1</v>
      </c>
      <c r="F210">
        <f t="shared" si="11"/>
        <v>0</v>
      </c>
      <c r="G210" s="3">
        <f>E210*((B210-B209)/B209)+F210*((C210-C209)/C209)</f>
        <v>-2.1521859150628903E-2</v>
      </c>
      <c r="H210">
        <f>E210*(((B210-B209)/B209) - ((C210-C209)/C209))+F210*(((C210-C209)/C209)-((B210-B209)/B209))</f>
        <v>5.0082611693953623E-3</v>
      </c>
    </row>
    <row r="211" spans="1:8" x14ac:dyDescent="0.45">
      <c r="A211" s="2">
        <v>46031</v>
      </c>
      <c r="B211">
        <v>184.84999084472659</v>
      </c>
      <c r="C211">
        <v>177.49000549316409</v>
      </c>
      <c r="D211">
        <f t="shared" si="9"/>
        <v>1.0414670410940179</v>
      </c>
      <c r="E211">
        <f t="shared" si="10"/>
        <v>1</v>
      </c>
      <c r="F211">
        <f t="shared" si="11"/>
        <v>0</v>
      </c>
      <c r="G211" s="3">
        <f>E211*((B211-B210)/B210)+F211*((C211-C210)/C210)</f>
        <v>-9.7277572184008797E-4</v>
      </c>
      <c r="H211">
        <f>E211*(((B211-B210)/B210) - ((C211-C210)/C210))+F211*(((C211-C210)/C210)-((B211-B210)/B210))</f>
        <v>-4.5349428632984485E-3</v>
      </c>
    </row>
    <row r="212" spans="1:8" x14ac:dyDescent="0.45">
      <c r="A212" s="2">
        <v>46034</v>
      </c>
      <c r="B212">
        <v>184.92999267578119</v>
      </c>
      <c r="C212">
        <v>179.4100036621094</v>
      </c>
      <c r="D212">
        <f t="shared" si="9"/>
        <v>1.0307674538821583</v>
      </c>
      <c r="E212">
        <f t="shared" si="10"/>
        <v>1</v>
      </c>
      <c r="F212">
        <f t="shared" si="11"/>
        <v>0</v>
      </c>
      <c r="G212" s="3">
        <f>E212*((B212-B211)/B211)+F212*((C212-C211)/C211)</f>
        <v>4.3279326490096244E-4</v>
      </c>
      <c r="H212">
        <f>E212*(((B212-B211)/B211) - ((C212-C211)/C211))+F212*(((C212-C211)/C211)-((B212-B211)/B211))</f>
        <v>-1.038470692960582E-2</v>
      </c>
    </row>
    <row r="213" spans="1:8" x14ac:dyDescent="0.45">
      <c r="A213" s="2">
        <v>46035</v>
      </c>
      <c r="B213">
        <v>185.79994201660159</v>
      </c>
      <c r="C213">
        <v>178.96000671386719</v>
      </c>
      <c r="D213">
        <f t="shared" si="9"/>
        <v>1.0382204685188157</v>
      </c>
      <c r="E213">
        <f t="shared" si="10"/>
        <v>1</v>
      </c>
      <c r="F213">
        <f t="shared" si="11"/>
        <v>0</v>
      </c>
      <c r="G213" s="3">
        <f>E213*((B213-B212)/B212)+F213*((C213-C212)/C212)</f>
        <v>4.7042090265238413E-3</v>
      </c>
      <c r="H213">
        <f>E213*(((B213-B212)/B212) - ((C213-C212)/C212))+F213*(((C213-C212)/C212)-((B213-B212)/B212))</f>
        <v>7.2124133577032472E-3</v>
      </c>
    </row>
    <row r="214" spans="1:8" x14ac:dyDescent="0.45">
      <c r="A214" s="2">
        <v>46036</v>
      </c>
      <c r="B214">
        <v>183.13008117675781</v>
      </c>
      <c r="C214">
        <v>178.3999938964844</v>
      </c>
      <c r="D214">
        <f t="shared" si="9"/>
        <v>1.0265139430611081</v>
      </c>
      <c r="E214">
        <f t="shared" si="10"/>
        <v>0</v>
      </c>
      <c r="F214">
        <f t="shared" si="11"/>
        <v>1</v>
      </c>
      <c r="G214" s="3">
        <f>E214*((B214-B213)/B213)+F214*((C214-C213)/C213)</f>
        <v>-3.1292623847414621E-3</v>
      </c>
      <c r="H214">
        <f>E214*(((B214-B213)/B213) - ((C214-C213)/C213))+F214*(((C214-C213)/C213)-((B214-B213)/B213))</f>
        <v>1.124028375647973E-2</v>
      </c>
    </row>
    <row r="215" spans="1:8" x14ac:dyDescent="0.45">
      <c r="A215" s="2">
        <v>46037</v>
      </c>
      <c r="B215">
        <v>187.0398864746094</v>
      </c>
      <c r="C215">
        <v>177.07000732421881</v>
      </c>
      <c r="D215">
        <f t="shared" si="9"/>
        <v>1.0563047311120033</v>
      </c>
      <c r="E215">
        <f t="shared" si="10"/>
        <v>1</v>
      </c>
      <c r="F215">
        <f t="shared" si="11"/>
        <v>0</v>
      </c>
      <c r="G215" s="3">
        <f>E215*((B215-B214)/B214)+F215*((C215-C214)/C214)</f>
        <v>2.1349880220267216E-2</v>
      </c>
      <c r="H215">
        <f>E215*(((B215-B214)/B214) - ((C215-C214)/C214))+F215*(((C215-C214)/C214)-((B215-B214)/B214))</f>
        <v>2.8804962158427559E-2</v>
      </c>
    </row>
    <row r="216" spans="1:8" x14ac:dyDescent="0.45">
      <c r="A216" s="2">
        <v>46038</v>
      </c>
      <c r="B216">
        <v>186.21990966796881</v>
      </c>
      <c r="C216">
        <v>170.96000671386719</v>
      </c>
      <c r="D216">
        <f t="shared" si="9"/>
        <v>1.0892600746070504</v>
      </c>
      <c r="E216">
        <f t="shared" si="10"/>
        <v>1</v>
      </c>
      <c r="F216">
        <f t="shared" si="11"/>
        <v>0</v>
      </c>
      <c r="G216" s="3">
        <f>E216*((B216-B215)/B215)+F216*((C216-C215)/C215)</f>
        <v>-4.3839676236753283E-3</v>
      </c>
      <c r="H216">
        <f>E216*(((B216-B215)/B215) - ((C216-C215)/C215))+F216*(((C216-C215)/C215)-((B216-B215)/B215))</f>
        <v>3.0122161916174311E-2</v>
      </c>
    </row>
    <row r="217" spans="1:8" x14ac:dyDescent="0.45">
      <c r="A217" s="2">
        <v>46042</v>
      </c>
      <c r="B217">
        <v>178.06036376953119</v>
      </c>
      <c r="C217">
        <v>168.5299987792969</v>
      </c>
      <c r="D217">
        <f t="shared" si="9"/>
        <v>1.0565499617828578</v>
      </c>
      <c r="E217">
        <f t="shared" si="10"/>
        <v>1</v>
      </c>
      <c r="F217">
        <f t="shared" si="11"/>
        <v>0</v>
      </c>
      <c r="G217" s="3">
        <f>E217*((B217-B216)/B216)+F217*((C217-C216)/C216)</f>
        <v>-4.3816721385947034E-2</v>
      </c>
      <c r="H217">
        <f>E217*(((B217-B216)/B216) - ((C217-C216)/C216))+F217*(((C217-C216)/C216)-((B217-B216)/B216))</f>
        <v>-2.9602824339035085E-2</v>
      </c>
    </row>
    <row r="218" spans="1:8" x14ac:dyDescent="0.45">
      <c r="A218" s="2">
        <v>46043</v>
      </c>
      <c r="B218">
        <v>183.3100891113281</v>
      </c>
      <c r="C218">
        <v>165.33000183105469</v>
      </c>
      <c r="D218">
        <f t="shared" si="9"/>
        <v>1.1087527192955982</v>
      </c>
      <c r="E218">
        <f t="shared" si="10"/>
        <v>1</v>
      </c>
      <c r="F218">
        <f t="shared" si="11"/>
        <v>0</v>
      </c>
      <c r="G218" s="3">
        <f>E218*((B218-B217)/B217)+F218*((C218-C217)/C217)</f>
        <v>2.948284071008514E-2</v>
      </c>
      <c r="H218">
        <f>E218*(((B218-B217)/B217) - ((C218-C217)/C217))+F218*(((C218-C217)/C217)-((B218-B217)/B217))</f>
        <v>4.8470540059877817E-2</v>
      </c>
    </row>
    <row r="219" spans="1:8" x14ac:dyDescent="0.45">
      <c r="A219" s="2">
        <v>46044</v>
      </c>
      <c r="B219">
        <v>184.8299865722656</v>
      </c>
      <c r="C219">
        <v>165.8999938964844</v>
      </c>
      <c r="D219">
        <f t="shared" si="9"/>
        <v>1.114104842508872</v>
      </c>
      <c r="E219">
        <f t="shared" si="10"/>
        <v>1</v>
      </c>
      <c r="F219">
        <f t="shared" si="11"/>
        <v>0</v>
      </c>
      <c r="G219" s="3">
        <f>E219*((B219-B218)/B218)+F219*((C219-C218)/C218)</f>
        <v>8.2914010260200909E-3</v>
      </c>
      <c r="H219">
        <f>E219*(((B219-B218)/B218) - ((C219-C218)/C218))+F219*(((C219-C218)/C218)-((B219-B218)/B218))</f>
        <v>4.8437989022859351E-3</v>
      </c>
    </row>
    <row r="220" spans="1:8" x14ac:dyDescent="0.45">
      <c r="A220" s="2">
        <v>46045</v>
      </c>
      <c r="B220">
        <v>187.65983581542969</v>
      </c>
      <c r="C220">
        <v>169.6000061035156</v>
      </c>
      <c r="D220">
        <f t="shared" si="9"/>
        <v>1.1064848411673478</v>
      </c>
      <c r="E220">
        <f t="shared" si="10"/>
        <v>1</v>
      </c>
      <c r="F220">
        <f t="shared" si="11"/>
        <v>0</v>
      </c>
      <c r="G220" s="3">
        <f>E220*((B220-B219)/B219)+F220*((C220-C219)/C219)</f>
        <v>1.5310552663258809E-2</v>
      </c>
      <c r="H220">
        <f>E220*(((B220-B219)/B219) - ((C220-C219)/C219))+F220*(((C220-C219)/C219)-((B220-B219)/B219))</f>
        <v>-6.992113660766899E-3</v>
      </c>
    </row>
    <row r="221" spans="1:8" x14ac:dyDescent="0.45">
      <c r="A221" s="2">
        <v>46048</v>
      </c>
      <c r="B221">
        <v>186.45991516113281</v>
      </c>
      <c r="C221">
        <v>167.4700012207031</v>
      </c>
      <c r="D221">
        <f t="shared" si="9"/>
        <v>1.1133929288947908</v>
      </c>
      <c r="E221">
        <f t="shared" si="10"/>
        <v>1</v>
      </c>
      <c r="F221">
        <f t="shared" si="11"/>
        <v>0</v>
      </c>
      <c r="G221" s="3">
        <f>E221*((B221-B220)/B220)+F221*((C221-C220)/C220)</f>
        <v>-6.394126101000327E-3</v>
      </c>
      <c r="H221">
        <f>E221*(((B221-B220)/B220) - ((C221-C220)/C220))+F221*(((C221-C220)/C220)-((B221-B220)/B220))</f>
        <v>6.1648645013493491E-3</v>
      </c>
    </row>
    <row r="222" spans="1:8" x14ac:dyDescent="0.45">
      <c r="A222" s="2">
        <v>46049</v>
      </c>
      <c r="B222">
        <v>188.5097961425781</v>
      </c>
      <c r="C222">
        <v>165.69999694824219</v>
      </c>
      <c r="D222">
        <f t="shared" si="9"/>
        <v>1.1376572095017041</v>
      </c>
      <c r="E222">
        <f t="shared" si="10"/>
        <v>1</v>
      </c>
      <c r="F222">
        <f t="shared" si="11"/>
        <v>0</v>
      </c>
      <c r="G222" s="3">
        <f>E222*((B222-B221)/B221)+F222*((C222-C221)/C221)</f>
        <v>1.0993681830616737E-2</v>
      </c>
      <c r="H222">
        <f>E222*(((B222-B221)/B221) - ((C222-C221)/C221))+F222*(((C222-C221)/C221)-((B222-B221)/B221))</f>
        <v>2.1562764409939584E-2</v>
      </c>
    </row>
    <row r="223" spans="1:8" x14ac:dyDescent="0.45">
      <c r="A223" s="2">
        <v>46050</v>
      </c>
      <c r="B223">
        <v>191.5096435546875</v>
      </c>
      <c r="C223">
        <v>157.3500061035156</v>
      </c>
      <c r="D223">
        <f t="shared" si="9"/>
        <v>1.2170933341349817</v>
      </c>
      <c r="E223">
        <f t="shared" si="10"/>
        <v>1</v>
      </c>
      <c r="F223">
        <f t="shared" si="11"/>
        <v>0</v>
      </c>
      <c r="G223" s="3">
        <f>E223*((B223-B222)/B222)+F223*((C223-C222)/C222)</f>
        <v>1.5913482871948412E-2</v>
      </c>
      <c r="H223">
        <f>E223*(((B223-B222)/B222) - ((C223-C222)/C222))+F223*(((C223-C222)/C222)-((B223-B222)/B222))</f>
        <v>6.630570374407542E-2</v>
      </c>
    </row>
    <row r="224" spans="1:8" x14ac:dyDescent="0.45">
      <c r="A224" s="2">
        <v>46051</v>
      </c>
      <c r="B224">
        <v>192.49957275390619</v>
      </c>
      <c r="C224">
        <v>151.86000061035159</v>
      </c>
      <c r="D224">
        <f t="shared" si="9"/>
        <v>1.2676120899527008</v>
      </c>
      <c r="E224">
        <f t="shared" si="10"/>
        <v>1</v>
      </c>
      <c r="F224">
        <f t="shared" si="11"/>
        <v>0</v>
      </c>
      <c r="G224" s="3">
        <f>E224*((B224-B223)/B223)+F224*((C224-C223)/C223)</f>
        <v>5.1690827722521921E-3</v>
      </c>
      <c r="H224">
        <f>E224*(((B224-B223)/B223) - ((C224-C223)/C223))+F224*(((C224-C223)/C223)-((B224-B223)/B223))</f>
        <v>4.0059488112003529E-2</v>
      </c>
    </row>
    <row r="225" spans="1:8" x14ac:dyDescent="0.45">
      <c r="A225" s="2">
        <v>46052</v>
      </c>
      <c r="B225">
        <v>191.1196594238281</v>
      </c>
      <c r="C225">
        <v>146.5899963378906</v>
      </c>
      <c r="D225">
        <f t="shared" si="9"/>
        <v>1.303770135741708</v>
      </c>
      <c r="E225">
        <f t="shared" si="10"/>
        <v>1</v>
      </c>
      <c r="F225">
        <f t="shared" si="11"/>
        <v>0</v>
      </c>
      <c r="G225" s="3">
        <f>E225*((B225-B224)/B224)+F225*((C225-C224)/C224)</f>
        <v>-7.1683968454423251E-3</v>
      </c>
      <c r="H225">
        <f>E225*(((B225-B224)/B224) - ((C225-C224)/C224))+F225*(((C225-C224)/C224)-((B225-B224)/B224))</f>
        <v>2.7534647085019525E-2</v>
      </c>
    </row>
    <row r="226" spans="1:8" x14ac:dyDescent="0.45">
      <c r="A226" s="2">
        <v>46055</v>
      </c>
      <c r="B226">
        <v>185.59996032714841</v>
      </c>
      <c r="C226">
        <v>147.75999450683591</v>
      </c>
      <c r="D226">
        <f t="shared" si="9"/>
        <v>1.2560907365123237</v>
      </c>
      <c r="E226">
        <f t="shared" si="10"/>
        <v>1</v>
      </c>
      <c r="F226">
        <f t="shared" si="11"/>
        <v>0</v>
      </c>
      <c r="G226" s="3">
        <f>E226*((B226-B225)/B225)+F226*((C226-C225)/C225)</f>
        <v>-2.8880854608678272E-2</v>
      </c>
      <c r="H226">
        <f>E226*(((B226-B225)/B225) - ((C226-C225)/C225))+F226*(((C226-C225)/C225)-((B226-B225)/B225))</f>
        <v>-3.6862287163246743E-2</v>
      </c>
    </row>
    <row r="227" spans="1:8" x14ac:dyDescent="0.45">
      <c r="A227" s="2">
        <v>46056</v>
      </c>
      <c r="B227">
        <v>180.3302307128906</v>
      </c>
      <c r="C227">
        <v>157.8800048828125</v>
      </c>
      <c r="D227">
        <f t="shared" si="9"/>
        <v>1.142198031009322</v>
      </c>
      <c r="E227">
        <f t="shared" si="10"/>
        <v>0</v>
      </c>
      <c r="F227">
        <f t="shared" si="11"/>
        <v>1</v>
      </c>
      <c r="G227" s="3">
        <f>E227*((B227-B226)/B226)+F227*((C227-C226)/C226)</f>
        <v>6.8489515106935142E-2</v>
      </c>
      <c r="H227">
        <f>E227*(((B227-B226)/B226) - ((C227-C226)/C226))+F227*(((C227-C226)/C226)-((B227-B226)/B226))</f>
        <v>9.6882460908050111E-2</v>
      </c>
    </row>
    <row r="228" spans="1:8" x14ac:dyDescent="0.45">
      <c r="A228" s="2">
        <v>46057</v>
      </c>
      <c r="B228">
        <v>174.1805725097656</v>
      </c>
      <c r="C228">
        <v>139.53999328613281</v>
      </c>
      <c r="D228">
        <f t="shared" si="9"/>
        <v>1.2482483939396556</v>
      </c>
      <c r="E228">
        <f t="shared" si="10"/>
        <v>1</v>
      </c>
      <c r="F228">
        <f t="shared" si="11"/>
        <v>0</v>
      </c>
      <c r="G228" s="3">
        <f>E228*((B228-B227)/B227)+F228*((C228-C227)/C227)</f>
        <v>-3.41022033788448E-2</v>
      </c>
      <c r="H228">
        <f>E228*(((B228-B227)/B227) - ((C228-C227)/C227))+F228*(((C228-C227)/C227)-((B228-B227)/B227))</f>
        <v>8.2062041804024835E-2</v>
      </c>
    </row>
    <row r="229" spans="1:8" x14ac:dyDescent="0.45">
      <c r="A229" s="2">
        <v>46058</v>
      </c>
      <c r="B229">
        <v>171.8706970214844</v>
      </c>
      <c r="C229">
        <v>130.00999450683591</v>
      </c>
      <c r="D229">
        <f t="shared" si="9"/>
        <v>1.3219806498218678</v>
      </c>
      <c r="E229">
        <f t="shared" si="10"/>
        <v>1</v>
      </c>
      <c r="F229">
        <f t="shared" si="11"/>
        <v>0</v>
      </c>
      <c r="G229" s="3">
        <f>E229*((B229-B228)/B228)+F229*((C229-C228)/C228)</f>
        <v>-1.3261384177340949E-2</v>
      </c>
      <c r="H229">
        <f>E229*(((B229-B228)/B228) - ((C229-C228)/C228))+F229*(((C229-C228)/C228)-((B229-B228)/B228))</f>
        <v>5.5034439513543337E-2</v>
      </c>
    </row>
    <row r="230" spans="1:8" x14ac:dyDescent="0.45">
      <c r="A230" s="2">
        <v>46059</v>
      </c>
      <c r="B230">
        <v>185.39996337890619</v>
      </c>
      <c r="C230">
        <v>135.8999938964844</v>
      </c>
      <c r="D230">
        <f t="shared" si="9"/>
        <v>1.3642382023955506</v>
      </c>
      <c r="E230">
        <f t="shared" si="10"/>
        <v>1</v>
      </c>
      <c r="F230">
        <f t="shared" si="11"/>
        <v>0</v>
      </c>
      <c r="G230" s="3">
        <f>E230*((B230-B229)/B229)+F230*((C230-C229)/C229)</f>
        <v>7.8717702272020157E-2</v>
      </c>
      <c r="H230">
        <f>E230*(((B230-B229)/B229) - ((C230-C229)/C229))+F230*(((C230-C229)/C229)-((B230-B229)/B229))</f>
        <v>3.3413497683819834E-2</v>
      </c>
    </row>
    <row r="231" spans="1:8" x14ac:dyDescent="0.45">
      <c r="A231" s="2">
        <v>46062</v>
      </c>
      <c r="B231">
        <v>190.02970886230469</v>
      </c>
      <c r="C231">
        <v>142.9100036621094</v>
      </c>
      <c r="D231">
        <f t="shared" si="9"/>
        <v>1.3297159330539463</v>
      </c>
      <c r="E231">
        <f t="shared" si="10"/>
        <v>1</v>
      </c>
      <c r="F231">
        <f t="shared" si="11"/>
        <v>0</v>
      </c>
      <c r="G231" s="3">
        <f>E231*((B231-B230)/B230)+F231*((C231-C230)/C230)</f>
        <v>2.4971663419029788E-2</v>
      </c>
      <c r="H231">
        <f>E231*(((B231-B230)/B230) - ((C231-C230)/C230))+F231*(((C231-C230)/C230)-((B231-B230)/B230))</f>
        <v>-2.6610456378301138E-2</v>
      </c>
    </row>
    <row r="232" spans="1:8" x14ac:dyDescent="0.45">
      <c r="A232" s="2">
        <v>46063</v>
      </c>
      <c r="B232">
        <v>188.52978515625</v>
      </c>
      <c r="C232">
        <v>139.50999450683591</v>
      </c>
      <c r="D232">
        <f t="shared" si="9"/>
        <v>1.3513711746796186</v>
      </c>
      <c r="E232">
        <f t="shared" si="10"/>
        <v>1</v>
      </c>
      <c r="F232">
        <f t="shared" si="11"/>
        <v>0</v>
      </c>
      <c r="G232" s="3">
        <f>E232*((B232-B231)/B231)+F232*((C232-C231)/C231)</f>
        <v>-7.8931011105296718E-3</v>
      </c>
      <c r="H232">
        <f>E232*(((B232-B231)/B231) - ((C232-C231)/C231))+F232*(((C232-C231)/C231)-((B232-B231)/B231))</f>
        <v>1.5898159600038483E-2</v>
      </c>
    </row>
    <row r="233" spans="1:8" x14ac:dyDescent="0.45">
      <c r="A233" s="2">
        <v>46064</v>
      </c>
      <c r="B233">
        <v>190.03971862792969</v>
      </c>
      <c r="C233">
        <v>135.67999267578119</v>
      </c>
      <c r="D233">
        <f t="shared" si="9"/>
        <v>1.400646586722964</v>
      </c>
      <c r="E233">
        <f t="shared" si="10"/>
        <v>1</v>
      </c>
      <c r="F233">
        <f t="shared" si="11"/>
        <v>0</v>
      </c>
      <c r="G233" s="3">
        <f>E233*((B233-B232)/B232)+F233*((C233-C232)/C232)</f>
        <v>8.008991631896693E-3</v>
      </c>
      <c r="H233">
        <f>E233*(((B233-B232)/B232) - ((C233-C232)/C232))+F233*(((C233-C232)/C232)-((B233-B232)/B232))</f>
        <v>3.5462234996959316E-2</v>
      </c>
    </row>
    <row r="234" spans="1:8" x14ac:dyDescent="0.45">
      <c r="A234" s="2">
        <v>46065</v>
      </c>
      <c r="B234">
        <v>186.92988586425781</v>
      </c>
      <c r="C234">
        <v>129.1300048828125</v>
      </c>
      <c r="D234">
        <f t="shared" si="9"/>
        <v>1.447609996095792</v>
      </c>
      <c r="E234">
        <f t="shared" si="10"/>
        <v>1</v>
      </c>
      <c r="F234">
        <f t="shared" si="11"/>
        <v>0</v>
      </c>
      <c r="G234" s="3">
        <f>E234*((B234-B233)/B233)+F234*((C234-C233)/C233)</f>
        <v>-1.6364120017250069E-2</v>
      </c>
      <c r="H234">
        <f>E234*(((B234-B233)/B233) - ((C234-C233)/C233))+F234*(((C234-C233)/C233)-((B234-B233)/B233))</f>
        <v>3.1911146393033746E-2</v>
      </c>
    </row>
    <row r="235" spans="1:8" x14ac:dyDescent="0.45">
      <c r="A235" s="2">
        <v>46066</v>
      </c>
      <c r="B235">
        <v>182.80010986328119</v>
      </c>
      <c r="C235">
        <v>131.4100036621094</v>
      </c>
      <c r="D235">
        <f t="shared" si="9"/>
        <v>1.3910669261779312</v>
      </c>
      <c r="E235">
        <f t="shared" si="10"/>
        <v>1</v>
      </c>
      <c r="F235">
        <f t="shared" si="11"/>
        <v>0</v>
      </c>
      <c r="G235" s="3">
        <f>E235*((B235-B234)/B234)+F235*((C235-C234)/C234)</f>
        <v>-2.2092647100718413E-2</v>
      </c>
      <c r="H235">
        <f>E235*(((B235-B234)/B234) - ((C235-C234)/C234))+F235*(((C235-C234)/C234)-((B235-B234)/B234))</f>
        <v>-3.9749262086259826E-2</v>
      </c>
    </row>
    <row r="236" spans="1:8" x14ac:dyDescent="0.45">
      <c r="A236" s="2">
        <v>46070</v>
      </c>
      <c r="B236">
        <v>184.9599914550781</v>
      </c>
      <c r="C236">
        <v>133.02000427246091</v>
      </c>
      <c r="D236">
        <f t="shared" si="9"/>
        <v>1.3904674899591047</v>
      </c>
      <c r="E236">
        <f t="shared" si="10"/>
        <v>1</v>
      </c>
      <c r="F236">
        <f t="shared" si="11"/>
        <v>0</v>
      </c>
      <c r="G236" s="3">
        <f>E236*((B236-B235)/B235)+F236*((C236-C235)/C235)</f>
        <v>1.1815537711724078E-2</v>
      </c>
      <c r="H236">
        <f>E236*(((B236-B235)/B235) - ((C236-C235)/C235))+F236*(((C236-C235)/C235)-((B236-B235)/B235))</f>
        <v>-4.3619781437218355E-4</v>
      </c>
    </row>
    <row r="237" spans="1:8" x14ac:dyDescent="0.45">
      <c r="A237" s="2">
        <v>46071</v>
      </c>
      <c r="B237">
        <v>187.9698181152344</v>
      </c>
      <c r="C237">
        <v>135.3800048828125</v>
      </c>
      <c r="D237">
        <f t="shared" si="9"/>
        <v>1.3884607130716582</v>
      </c>
      <c r="E237">
        <f t="shared" si="10"/>
        <v>1</v>
      </c>
      <c r="F237">
        <f t="shared" si="11"/>
        <v>0</v>
      </c>
      <c r="G237" s="3">
        <f>E237*((B237-B236)/B236)+F237*((C237-C236)/C236)</f>
        <v>1.6272852504360731E-2</v>
      </c>
      <c r="H237">
        <f>E237*(((B237-B236)/B236) - ((C237-C236)/C236))+F237*(((C237-C236)/C236)-((B237-B236)/B236))</f>
        <v>-1.4688444927140262E-3</v>
      </c>
    </row>
    <row r="238" spans="1:8" x14ac:dyDescent="0.45">
      <c r="A238" s="2">
        <v>46072</v>
      </c>
      <c r="B238">
        <v>187.88983154296881</v>
      </c>
      <c r="C238">
        <v>134.88999938964841</v>
      </c>
      <c r="D238">
        <f t="shared" si="9"/>
        <v>1.3929115011723223</v>
      </c>
      <c r="E238">
        <f t="shared" si="10"/>
        <v>1</v>
      </c>
      <c r="F238">
        <f t="shared" si="11"/>
        <v>0</v>
      </c>
      <c r="G238" s="3">
        <f>E238*((B238-B237)/B237)+F238*((C238-C237)/C237)</f>
        <v>-4.2552880599459333E-4</v>
      </c>
      <c r="H238">
        <f>E238*(((B238-B237)/B237) - ((C238-C237)/C237))+F238*(((C238-C237)/C237)-((B238-B237)/B237))</f>
        <v>3.1939532112224174E-3</v>
      </c>
    </row>
    <row r="239" spans="1:8" x14ac:dyDescent="0.45">
      <c r="A239" s="2">
        <v>46073</v>
      </c>
      <c r="B239">
        <v>189.80973815917969</v>
      </c>
      <c r="C239">
        <v>135.24000549316409</v>
      </c>
      <c r="D239">
        <f t="shared" si="9"/>
        <v>1.4035028870859807</v>
      </c>
      <c r="E239">
        <f t="shared" si="10"/>
        <v>1</v>
      </c>
      <c r="F239">
        <f t="shared" si="11"/>
        <v>0</v>
      </c>
      <c r="G239" s="3">
        <f>E239*((B239-B238)/B238)+F239*((C239-C238)/C238)</f>
        <v>1.0218257158700013E-2</v>
      </c>
      <c r="H239">
        <f>E239*(((B239-B238)/B238) - ((C239-C238)/C238))+F239*(((C239-C238)/C238)-((B239-B238)/B238))</f>
        <v>7.6235051007313504E-3</v>
      </c>
    </row>
    <row r="240" spans="1:8" x14ac:dyDescent="0.45">
      <c r="A240" s="2">
        <v>46076</v>
      </c>
      <c r="B240">
        <v>191.5396423339844</v>
      </c>
      <c r="C240">
        <v>130.6000061035156</v>
      </c>
      <c r="D240">
        <f t="shared" si="9"/>
        <v>1.4666128130359128</v>
      </c>
      <c r="E240">
        <f t="shared" si="10"/>
        <v>1</v>
      </c>
      <c r="F240">
        <f t="shared" si="11"/>
        <v>0</v>
      </c>
      <c r="G240" s="3">
        <f>E240*((B240-B239)/B239)+F240*((C240-C239)/C239)</f>
        <v>9.1138852599542096E-3</v>
      </c>
      <c r="H240">
        <f>E240*(((B240-B239)/B239) - ((C240-C239)/C239))+F240*(((C240-C239)/C239)-((B240-B239)/B239))</f>
        <v>4.3423255277563605E-2</v>
      </c>
    </row>
    <row r="241" spans="1:8" x14ac:dyDescent="0.45">
      <c r="A241" s="2">
        <v>46077</v>
      </c>
      <c r="B241">
        <v>192.8395690917969</v>
      </c>
      <c r="C241">
        <v>128.8399963378906</v>
      </c>
      <c r="D241">
        <f t="shared" si="9"/>
        <v>1.4967368408336772</v>
      </c>
      <c r="E241">
        <f t="shared" si="10"/>
        <v>1</v>
      </c>
      <c r="F241">
        <f t="shared" si="11"/>
        <v>0</v>
      </c>
      <c r="G241" s="3">
        <f>E241*((B241-B240)/B240)+F241*((C241-C240)/C240)</f>
        <v>6.7867243666762198E-3</v>
      </c>
      <c r="H241">
        <f>E241*(((B241-B240)/B240) - ((C241-C240)/C240))+F241*(((C241-C240)/C240)-((B241-B240)/B240))</f>
        <v>2.0263061911637657E-2</v>
      </c>
    </row>
    <row r="242" spans="1:8" x14ac:dyDescent="0.45">
      <c r="A242" s="2">
        <v>46078</v>
      </c>
      <c r="B242">
        <v>195.5494079589844</v>
      </c>
      <c r="C242">
        <v>134.19000244140619</v>
      </c>
      <c r="D242">
        <f t="shared" si="9"/>
        <v>1.4572576525912999</v>
      </c>
      <c r="E242">
        <f t="shared" si="10"/>
        <v>1</v>
      </c>
      <c r="F242">
        <f t="shared" si="11"/>
        <v>0</v>
      </c>
      <c r="G242" s="3">
        <f>E242*((B242-B241)/B241)+F242*((C242-C241)/C241)</f>
        <v>1.4052296839024477E-2</v>
      </c>
      <c r="H242">
        <f>E242*(((B242-B241)/B241) - ((C242-C241)/C241))+F242*(((C242-C241)/C241)-((B242-B241)/B241))</f>
        <v>-2.7472123027341287E-2</v>
      </c>
    </row>
    <row r="243" spans="1:8" x14ac:dyDescent="0.45">
      <c r="A243" s="2">
        <v>46079</v>
      </c>
      <c r="B243">
        <v>184.87998962402341</v>
      </c>
      <c r="C243">
        <v>135.94000244140619</v>
      </c>
      <c r="D243">
        <f t="shared" si="9"/>
        <v>1.3600116691458179</v>
      </c>
      <c r="E243">
        <f t="shared" si="10"/>
        <v>0</v>
      </c>
      <c r="F243">
        <f t="shared" si="11"/>
        <v>1</v>
      </c>
      <c r="G243" s="3">
        <f>E243*((B243-B242)/B242)+F243*((C243-C242)/C242)</f>
        <v>1.3041209987041577E-2</v>
      </c>
      <c r="H243">
        <f>E243*(((B243-B242)/B242) - ((C243-C242)/C242))+F243*(((C243-C242)/C242)-((B243-B242)/B242))</f>
        <v>6.7602450781996351E-2</v>
      </c>
    </row>
    <row r="244" spans="1:8" x14ac:dyDescent="0.45">
      <c r="A244" s="2">
        <v>46080</v>
      </c>
      <c r="B244">
        <v>177.180419921875</v>
      </c>
      <c r="C244">
        <v>137.19000244140619</v>
      </c>
      <c r="D244">
        <f t="shared" si="9"/>
        <v>1.2914965869874424</v>
      </c>
      <c r="E244">
        <f t="shared" si="10"/>
        <v>0</v>
      </c>
      <c r="F244">
        <f t="shared" si="11"/>
        <v>1</v>
      </c>
      <c r="G244" s="3">
        <f>E244*((B244-B243)/B243)+F244*((C244-C243)/C243)</f>
        <v>9.1952330259724956E-3</v>
      </c>
      <c r="H244">
        <f>E244*(((B244-B243)/B243) - ((C244-C243)/C243))+F244*(((C244-C243)/C243)-((B244-B243)/B243))</f>
        <v>5.0841544872951977E-2</v>
      </c>
    </row>
    <row r="245" spans="1:8" x14ac:dyDescent="0.45">
      <c r="A245" s="2">
        <v>46083</v>
      </c>
      <c r="B245">
        <v>182.4701232910156</v>
      </c>
      <c r="C245">
        <v>145.16999816894531</v>
      </c>
      <c r="D245">
        <f t="shared" si="9"/>
        <v>1.2569410042883744</v>
      </c>
      <c r="E245">
        <f t="shared" si="10"/>
        <v>0</v>
      </c>
      <c r="F245">
        <f t="shared" si="11"/>
        <v>1</v>
      </c>
      <c r="G245" s="3">
        <f>E245*((B245-B244)/B244)+F245*((C245-C244)/C244)</f>
        <v>5.8167472742391507E-2</v>
      </c>
      <c r="H245">
        <f>E245*(((B245-B244)/B244) - ((C245-C244)/C244))+F245*(((C245-C244)/C244)-((B245-B244)/B244))</f>
        <v>2.8312574715436776E-2</v>
      </c>
    </row>
    <row r="246" spans="1:8" x14ac:dyDescent="0.45">
      <c r="A246" s="2">
        <v>46084</v>
      </c>
      <c r="B246">
        <v>180.0402526855469</v>
      </c>
      <c r="C246">
        <v>147.2200012207031</v>
      </c>
      <c r="D246">
        <f t="shared" si="9"/>
        <v>1.2229333731334624</v>
      </c>
      <c r="E246">
        <f t="shared" si="10"/>
        <v>0</v>
      </c>
      <c r="F246">
        <f t="shared" si="11"/>
        <v>1</v>
      </c>
      <c r="G246" s="3">
        <f>E246*((B246-B245)/B245)+F246*((C246-C245)/C245)</f>
        <v>1.4121396139800459E-2</v>
      </c>
      <c r="H246">
        <f>E246*(((B246-B245)/B245) - ((C246-C245)/C245))+F246*(((C246-C245)/C245)-((B246-B245)/B245))</f>
        <v>2.7437935645796038E-2</v>
      </c>
    </row>
    <row r="247" spans="1:8" x14ac:dyDescent="0.45">
      <c r="A247" s="2">
        <v>46085</v>
      </c>
      <c r="B247">
        <v>183.03009033203119</v>
      </c>
      <c r="C247">
        <v>153.19000244140619</v>
      </c>
      <c r="D247">
        <f t="shared" si="9"/>
        <v>1.1947913533198002</v>
      </c>
      <c r="E247">
        <f t="shared" si="10"/>
        <v>0</v>
      </c>
      <c r="F247">
        <f t="shared" si="11"/>
        <v>1</v>
      </c>
      <c r="G247" s="3">
        <f>E247*((B247-B246)/B246)+F247*((C247-C246)/C246)</f>
        <v>4.0551563450629519E-2</v>
      </c>
      <c r="H247">
        <f>E247*(((B247-B246)/B246) - ((C247-C246)/C246))+F247*(((C247-C246)/C246)-((B247-B246)/B246))</f>
        <v>2.3945067948169557E-2</v>
      </c>
    </row>
    <row r="248" spans="1:8" x14ac:dyDescent="0.45">
      <c r="A248" s="2">
        <v>46086</v>
      </c>
      <c r="B248">
        <v>183.330078125</v>
      </c>
      <c r="C248">
        <v>152.66999816894531</v>
      </c>
      <c r="D248">
        <f t="shared" si="9"/>
        <v>1.2008258356178541</v>
      </c>
      <c r="E248">
        <f t="shared" si="10"/>
        <v>0</v>
      </c>
      <c r="F248">
        <f t="shared" si="11"/>
        <v>1</v>
      </c>
      <c r="G248" s="3">
        <f>E248*((B248-B247)/B247)+F248*((C248-C247)/C247)</f>
        <v>-3.3945052821562401E-3</v>
      </c>
      <c r="H248">
        <f>E248*(((B248-B247)/B247) - ((C248-C247)/C247))+F248*(((C248-C247)/C247)-((B248-B247)/B247))</f>
        <v>-5.033513340473892E-3</v>
      </c>
    </row>
    <row r="249" spans="1:8" x14ac:dyDescent="0.45">
      <c r="A249" s="2">
        <v>46087</v>
      </c>
      <c r="B249">
        <v>177.81037902832031</v>
      </c>
      <c r="C249">
        <v>157.1600036621094</v>
      </c>
      <c r="D249">
        <f t="shared" si="9"/>
        <v>1.1313971423073315</v>
      </c>
      <c r="E249">
        <f t="shared" si="10"/>
        <v>0</v>
      </c>
      <c r="F249">
        <f t="shared" si="11"/>
        <v>1</v>
      </c>
      <c r="G249" s="3">
        <f>E249*((B249-B248)/B248)+F249*((C249-C248)/C248)</f>
        <v>2.940987454650671E-2</v>
      </c>
      <c r="H249">
        <f>E249*(((B249-B248)/B248) - ((C249-C248)/C248))+F249*(((C249-C248)/C248)-((B249-B248)/B248))</f>
        <v>5.9517858752547302E-2</v>
      </c>
    </row>
    <row r="250" spans="1:8" x14ac:dyDescent="0.45">
      <c r="A250" s="2">
        <v>46090</v>
      </c>
      <c r="B250">
        <v>182.6401062011719</v>
      </c>
      <c r="C250">
        <v>156.42999267578119</v>
      </c>
      <c r="D250">
        <f t="shared" si="9"/>
        <v>1.1675517148409904</v>
      </c>
      <c r="E250">
        <f t="shared" si="10"/>
        <v>0</v>
      </c>
      <c r="F250">
        <f t="shared" si="11"/>
        <v>1</v>
      </c>
      <c r="G250" s="3">
        <f>E250*((B250-B249)/B249)+F250*((C250-C249)/C249)</f>
        <v>-4.6450176210081923E-3</v>
      </c>
      <c r="H250">
        <f>E250*(((B250-B249)/B249) - ((C250-C249)/C249))+F250*(((C250-C249)/C249)-((B250-B249)/B249))</f>
        <v>-3.1807251902519665E-2</v>
      </c>
    </row>
    <row r="251" spans="1:8" x14ac:dyDescent="0.45">
      <c r="A251" s="2">
        <v>46091</v>
      </c>
      <c r="B251">
        <v>184.760009765625</v>
      </c>
      <c r="C251">
        <v>151.13999938964841</v>
      </c>
      <c r="D251">
        <f t="shared" si="9"/>
        <v>1.2224428378440184</v>
      </c>
      <c r="E251">
        <f t="shared" si="10"/>
        <v>0</v>
      </c>
      <c r="F251">
        <f t="shared" si="11"/>
        <v>1</v>
      </c>
      <c r="G251" s="3">
        <f>E251*((B251-B250)/B250)+F251*((C251-C250)/C250)</f>
        <v>-3.381700143077352E-2</v>
      </c>
      <c r="H251">
        <f>E251*(((B251-B250)/B250) - ((C251-C250)/C250))+F251*(((C251-C250)/C250)-((B251-B250)/B250))</f>
        <v>-4.5424000619210779E-2</v>
      </c>
    </row>
    <row r="252" spans="1:8" x14ac:dyDescent="0.45">
      <c r="A252" s="2">
        <v>46092</v>
      </c>
      <c r="B252">
        <v>186.0299987792969</v>
      </c>
      <c r="C252">
        <v>151.6000061035156</v>
      </c>
      <c r="D252">
        <f t="shared" si="9"/>
        <v>1.2271107604855358</v>
      </c>
      <c r="E252">
        <f t="shared" si="10"/>
        <v>0</v>
      </c>
      <c r="F252">
        <f t="shared" si="11"/>
        <v>1</v>
      </c>
      <c r="G252" s="3">
        <f>E252*((B252-B251)/B251)+F252*((C252-C251)/C251)</f>
        <v>3.0435802284295458E-3</v>
      </c>
      <c r="H252">
        <f>E252*(((B252-B251)/B251) - ((C252-C251)/C251))+F252*(((C252-C251)/C251)-((B252-B251)/B251))</f>
        <v>-3.830142149496998E-3</v>
      </c>
    </row>
    <row r="253" spans="1:8" x14ac:dyDescent="0.45">
      <c r="A253" s="2">
        <v>46093</v>
      </c>
      <c r="B253">
        <v>183.30999755859381</v>
      </c>
      <c r="C253">
        <v>152.44000244140619</v>
      </c>
      <c r="D253">
        <f t="shared" si="9"/>
        <v>1.2025058686879331</v>
      </c>
      <c r="E253">
        <f t="shared" si="10"/>
        <v>0</v>
      </c>
      <c r="F253">
        <f t="shared" si="11"/>
        <v>1</v>
      </c>
      <c r="G253" s="3">
        <f>E253*((B253-B252)/B252)+F253*((C253-C252)/C252)</f>
        <v>5.5408727181516723E-3</v>
      </c>
      <c r="H253">
        <f>E253*(((B253-B252)/B252) - ((C253-C252)/C252))+F253*(((C253-C252)/C252)-((B253-B252)/B252))</f>
        <v>2.0162177016121718E-2</v>
      </c>
    </row>
    <row r="254" spans="1:8" x14ac:dyDescent="0.45">
      <c r="G254" s="3">
        <f>E254*((B254-B253)/B253)+F254*((C254-C253)/C253)</f>
        <v>0</v>
      </c>
      <c r="H254">
        <f>E254*(((B254-B253)/B253) - ((C254-C253)/C253))+F254*(((C254-C253)/C253)-((B254-B253)/B253))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41A8C3EBADC4AA4116EEB90B73D8D" ma:contentTypeVersion="16" ma:contentTypeDescription="Crée un document." ma:contentTypeScope="" ma:versionID="5f33f83e984796e540764a69c690c2b8">
  <xsd:schema xmlns:xsd="http://www.w3.org/2001/XMLSchema" xmlns:xs="http://www.w3.org/2001/XMLSchema" xmlns:p="http://schemas.microsoft.com/office/2006/metadata/properties" xmlns:ns3="35b632e6-b938-4257-8e9a-d46098a434e1" xmlns:ns4="18dc4840-f02f-4a5f-8ac1-8417c7c17f91" targetNamespace="http://schemas.microsoft.com/office/2006/metadata/properties" ma:root="true" ma:fieldsID="a15c39ce18a1b25d392f3a5b8fcf066f" ns3:_="" ns4:_="">
    <xsd:import namespace="35b632e6-b938-4257-8e9a-d46098a434e1"/>
    <xsd:import namespace="18dc4840-f02f-4a5f-8ac1-8417c7c17f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632e6-b938-4257-8e9a-d46098a43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c4840-f02f-4a5f-8ac1-8417c7c17f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b632e6-b938-4257-8e9a-d46098a434e1" xsi:nil="true"/>
  </documentManagement>
</p:properties>
</file>

<file path=customXml/itemProps1.xml><?xml version="1.0" encoding="utf-8"?>
<ds:datastoreItem xmlns:ds="http://schemas.openxmlformats.org/officeDocument/2006/customXml" ds:itemID="{3580CDC9-D02C-46E0-8EF1-EFF041DC0D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b632e6-b938-4257-8e9a-d46098a434e1"/>
    <ds:schemaRef ds:uri="18dc4840-f02f-4a5f-8ac1-8417c7c17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D0388C-7257-4569-9BAA-EEDE0750A8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5C67F5-F450-450B-A0DC-0A4E77893019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18dc4840-f02f-4a5f-8ac1-8417c7c17f91"/>
    <ds:schemaRef ds:uri="35b632e6-b938-4257-8e9a-d46098a434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NVDA-PLTR strat trading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RAMDOYAL Lucky</cp:lastModifiedBy>
  <dcterms:created xsi:type="dcterms:W3CDTF">2026-03-12T13:53:13Z</dcterms:created>
  <dcterms:modified xsi:type="dcterms:W3CDTF">2026-03-12T16:26:22Z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0x01010013341A8C3EBADC4AA4116EEB90B73D8D</vt:lpwstr>
  </property>
</Properties>
</file>